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98b75145a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07a2eb211d4b24"/>
    <x:sheet xmlns:r="http://schemas.openxmlformats.org/officeDocument/2006/relationships" name="Supplier Scorecards" sheetId="2" r:id="R454bc81724b14333"/>
    <x:sheet xmlns:r="http://schemas.openxmlformats.org/officeDocument/2006/relationships" name="Monthly Model" sheetId="3" r:id="Rf53bcce5a95b4785"/>
    <x:sheet xmlns:r="http://schemas.openxmlformats.org/officeDocument/2006/relationships" name="Inventory Review" sheetId="4" r:id="Rf72d05b8c20f42ca"/>
    <x:sheet xmlns:r="http://schemas.openxmlformats.org/officeDocument/2006/relationships" name="PO Sample Simulated" sheetId="5" r:id="R0192fd14c99c480d"/>
    <x:sheet xmlns:r="http://schemas.openxmlformats.org/officeDocument/2006/relationships" name="Assumptions" sheetId="6" r:id="Rfc6bf506ca62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.00"/>
    <x:numFmt numFmtId="202" formatCode="$#,##0"/>
  </x:numFmts>
  <x:fonts count="5">
    <x:font>
      <x:sz val="11"/>
      <x:name val="Carlito"/>
    </x:font>
    <x:font>
      <x:b/>
      <x:sz val="17"/>
      <x:color rgb="FFFFFFFF"/>
      <x:name val="Carlito"/>
    </x:font>
    <x:font>
      <x:sz val="11"/>
      <x:color rgb="FF19435A"/>
      <x:name val="Carlito"/>
    </x:font>
    <x:font>
      <x:b/>
      <x:sz val="11"/>
      <x:color rgb="FF9A4E13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04A"/>
      </x:patternFill>
    </x:fill>
    <x:fill>
      <x:patternFill patternType="solid">
        <x:fgColor rgb="FFEAF5F7"/>
      </x:patternFill>
    </x:fill>
    <x:fill>
      <x:patternFill patternType="solid">
        <x:fgColor rgb="FFF7E7D4"/>
      </x:patternFill>
    </x:fill>
    <x:fill>
      <x:patternFill patternType="solid">
        <x:fgColor rgb="FF0E7490"/>
      </x:patternFill>
    </x:fill>
    <x:fill>
      <x:patternFill patternType="solid">
        <x:fgColor rgb="FFFFF0C4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a9cfde9eb4801" /><Relationship Type="http://schemas.openxmlformats.org/officeDocument/2006/relationships/theme" Target="/xl/theme/theme1.xml" Id="Recdef660c9324a23" /><Relationship Type="http://schemas.openxmlformats.org/officeDocument/2006/relationships/sharedStrings" Target="/xl/sharedStrings.xml" Id="R919ef0de0acf49a8" /><Relationship Type="http://schemas.openxmlformats.org/officeDocument/2006/relationships/worksheet" Target="/xl/worksheets/sheet1.xml" Id="R9807a2eb211d4b24" /><Relationship Type="http://schemas.openxmlformats.org/officeDocument/2006/relationships/worksheet" Target="/xl/worksheets/sheet2.xml" Id="R454bc81724b14333" /><Relationship Type="http://schemas.openxmlformats.org/officeDocument/2006/relationships/worksheet" Target="/xl/worksheets/sheet3.xml" Id="Rf53bcce5a95b4785" /><Relationship Type="http://schemas.openxmlformats.org/officeDocument/2006/relationships/worksheet" Target="/xl/worksheets/sheet4.xml" Id="Rf72d05b8c20f42ca" /><Relationship Type="http://schemas.openxmlformats.org/officeDocument/2006/relationships/worksheet" Target="/xl/worksheets/sheet5.xml" Id="R0192fd14c99c480d" /><Relationship Type="http://schemas.openxmlformats.org/officeDocument/2006/relationships/worksheet" Target="/xl/worksheets/sheet6.xml" Id="Rfc6bf506ca6241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4" max="4" width="38" hidden="0" customWidth="1"/>
    <x:col min="2" max="2" width="18" hidden="0" customWidth="1"/>
    <x:col min="5" max="5" width="20" hidden="0" customWidth="1"/>
  </x:cols>
  <x:sheetData>
    <x:row r="1" ht="34" customHeight="1">
      <x:c r="A1" s="4" t="str">
        <x:v>SUPPLIER &amp; PROCUREMENT ANALYTICS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9" t="str">
        <x:v>PROCUREMENT = SIMULATED DEMO  |  INVENTORY = OBSERVED SOURCE DATA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2" customHeight="1">
      <x:c r="A3" s="13" t="str">
        <x:v>NOT ACTUAL PROCUREMENT EXPENDITURES, DELIVERIES OR SAVINGS — hypothetical scenario only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24" customHeight="1">
      <x:c r="A4" s="17" t="str">
        <x:v>SIMULATED KPI</x:v>
      </x:c>
      <x:c r="B4" s="17"/>
      <x:c r="D4" s="17" t="str">
        <x:v>OBSERVED INVENTORY KPI</x:v>
      </x:c>
      <x:c r="E4" s="17"/>
    </x:row>
    <x:row r="5">
      <x:c r="A5" t="str">
        <x:v>Modeled PO count</x:v>
      </x:c>
      <x:c r="B5" t="n">
        <x:f>SUM('Supplier Scorecards'!B5:B354)</x:f>
        <x:v>2990</x:v>
      </x:c>
      <x:c r="D5" t="str">
        <x:v>Inventory records</x:v>
      </x:c>
      <x:c r="E5" t="n">
        <x:f>COUNTA('Inventory Review'!A5:A994)</x:f>
        <x:v>990</x:v>
      </x:c>
    </x:row>
    <x:row r="6">
      <x:c r="A6" t="str">
        <x:v>Modeled order value (USD)</x:v>
      </x:c>
      <x:c r="B6" s="22" t="n">
        <x:f>SUM('Supplier Scorecards'!E5:E354)</x:f>
        <x:v>912896.42</x:v>
      </x:c>
      <x:c r="D6" t="str">
        <x:v>Distinct supplier names</x:v>
      </x:c>
      <x:c r="E6" t="n">
        <x:f>COUNTA('Supplier Scorecards'!A5:A354)</x:f>
        <x:v>350</x:v>
      </x:c>
    </x:row>
    <x:row r="7">
      <x:c r="A7" t="str">
        <x:v>Simulated OTIF</x:v>
      </x:c>
      <x:c r="B7" s="20" t="n">
        <x:f>IFERROR(SUM('Supplier Scorecards'!G5:G354)/B5,0)</x:f>
        <x:v>0.5949832775919732</x:v>
      </x:c>
      <x:c r="D7" t="str">
        <x:v>Non-discontinued low-stock lines</x:v>
      </x:c>
      <x:c r="E7" t="n">
        <x:f>COUNTIF('Inventory Review'!J5:J994,"&gt;0")</x:f>
        <x:v>292</x:v>
      </x:c>
    </x:row>
    <x:row r="8">
      <x:c r="A8" t="str">
        <x:v>Simulated on-time rate</x:v>
      </x:c>
      <x:c r="B8" s="20" t="n">
        <x:f>IFERROR(SUM('Supplier Scorecards'!F5:F354)/B5,0)</x:f>
        <x:v>0.6862876254180602</x:v>
      </x:c>
      <x:c r="D8" t="str">
        <x:v>Price-based inventory value proxy (USD)</x:v>
      </x:c>
      <x:c r="E8" s="22" t="n">
        <x:f>SUM('Inventory Review'!H5:H994)</x:f>
        <x:v>332654.71</x:v>
      </x:c>
    </x:row>
    <x:row r="9">
      <x:c r="A9" t="str">
        <x:v>Simulated unit fill rate</x:v>
      </x:c>
      <x:c r="B9" s="20" t="n">
        <x:f>IFERROR(SUM('Supplier Scorecards'!D5:D354)/SUM('Supplier Scorecards'!C5:C354),0)</x:f>
        <x:v>0.9115122197410834</x:v>
      </x:c>
      <x:c r="D9" t="str">
        <x:v>Source receipt-before-order dates</x:v>
      </x:c>
      <x:c r="E9" t="n">
        <x:f>Assumptions!B11</x:f>
        <x:v>514</x:v>
      </x:c>
    </x:row>
    <x:row r="10">
      <x:c r="A10" t="str">
        <x:v>Simulated open PO count</x:v>
      </x:c>
      <x:c r="B10" t="n">
        <x:f>SUM('Supplier Scorecards'!L5:L354)</x:f>
        <x:v>171</x:v>
      </x:c>
      <x:c r="D10" t="str">
        <x:v>Original supplier IDs (distinct)</x:v>
      </x:c>
      <x:c r="E10" t="n">
        <x:f>Assumptions!B12</x:f>
        <x:v>990</x:v>
      </x:c>
    </x:row>
    <x:row r="11">
      <x:c r="A11" t="str">
        <x:v>5% top-ten supplier scenario savings</x:v>
      </x:c>
      <x:c r="B11" s="22" t="n">
        <x:f>Assumptions!B7*SUM('Supplier Scorecards'!E5:E14)</x:f>
        <x:v>7153.655000000001</x:v>
      </x:c>
      <x:c r="D11" t="str">
        <x:v>Scenario reference date</x:v>
      </x:c>
      <x:c r="E11" t="str">
        <x:f>Assumptions!B13</x:f>
        <x:v>2025-03-31</x:v>
      </x:c>
    </x:row>
    <x:row r="13" ht="24" customHeight="1">
      <x:c r="A13" s="17" t="str">
        <x:v>INTERPRETATION &amp; LIMITATIONS</x:v>
      </x:c>
      <x:c r="B13" s="17"/>
      <x:c r="C13" s="17"/>
      <x:c r="D13" s="17"/>
      <x:c r="E13" s="17"/>
      <x:c r="F13" s="17"/>
    </x:row>
    <x:row r="14" ht="25" customHeight="1">
      <x:c r="A14" s="24" t="str">
        <x:v>Supplier scorecards: simulation, not validated historical supplier reliability.</x:v>
      </x:c>
      <x:c r="B14" s="24"/>
      <x:c r="C14" s="24"/>
      <x:c r="D14" s="24"/>
      <x:c r="E14" s="24"/>
      <x:c r="F14" s="24"/>
    </x:row>
    <x:row r="15" ht="25" customHeight="1">
      <x:c r="A15" s="24" t="str">
        <x:v>The original dataset contains neither order receipts joined to PO IDs nor actual procurement cost.</x:v>
      </x:c>
      <x:c r="B15" s="24"/>
      <x:c r="C15" s="24"/>
      <x:c r="D15" s="24"/>
      <x:c r="E15" s="24"/>
      <x:c r="F15" s="24"/>
    </x:row>
    <x:row r="16" ht="25" customHeight="1">
      <x:c r="A16" s="24" t="str">
        <x:v>Inventory value uses listed unit price (potentially retail); not booked inventory cost.</x:v>
      </x:c>
      <x:c r="B16" s="24"/>
      <x:c r="C16" s="24"/>
      <x:c r="D16" s="24"/>
      <x:c r="E16" s="24"/>
      <x:c r="F16" s="24"/>
    </x:row>
    <x:row r="17" ht="25" customHeight="1">
      <x:c r="A17" s="24" t="str">
        <x:v>All supplier risk thresholds and 5% cost-negotiation parameters are assumptions.</x:v>
      </x:c>
      <x:c r="B17" s="24"/>
      <x:c r="C17" s="24"/>
      <x:c r="D17" s="24"/>
      <x:c r="E17" s="24"/>
      <x:c r="F17" s="24"/>
    </x:row>
    <x:row r="18" ht="25" customHeight="1">
      <x:c r="A18" s="24" t="str">
        <x:v>The source's date fields are internally contradictory on 514 rows.</x:v>
      </x:c>
      <x:c r="B18" s="24"/>
      <x:c r="C18" s="24"/>
      <x:c r="D18" s="24"/>
      <x:c r="E18" s="24"/>
      <x:c r="F18" s="24"/>
    </x:row>
    <x:row r="19" ht="25" customHeight="1">
      <x:c r="A19" s="24" t="str">
        <x:v>Source Supplier_ID is unique per inventory row; grouping uses normalized Supplier_Name.</x:v>
      </x:c>
      <x:c r="B19" s="24"/>
      <x:c r="C19" s="24"/>
      <x:c r="D19" s="24"/>
      <x:c r="E19" s="24"/>
      <x:c r="F19" s="24"/>
    </x:row>
    <x:row r="21" ht="24" customHeight="1">
      <x:c r="A21" s="17" t="str">
        <x:v>KEY BUSINESS QUESTIONS</x:v>
      </x:c>
      <x:c r="B21" s="17"/>
      <x:c r="C21" s="17"/>
      <x:c r="D21" s="17"/>
      <x:c r="E21" s="17"/>
      <x:c r="F21" s="17"/>
    </x:row>
    <x:row r="22" ht="26" customHeight="1">
      <x:c r="A22" s="24" t="str">
        <x:v>Which modeled suppliers have low OTIF and enough volume to investigate?</x:v>
      </x:c>
      <x:c r="B22" s="24"/>
      <x:c r="C22" s="24"/>
      <x:c r="D22" s="24"/>
      <x:c r="E22" s="24"/>
      <x:c r="F22" s="24"/>
    </x:row>
    <x:row r="23" ht="26" customHeight="1">
      <x:c r="A23" s="24" t="str">
        <x:v>What proportion of modeled commitments falls among the largest suppliers?</x:v>
      </x:c>
      <x:c r="B23" s="24"/>
      <x:c r="C23" s="24"/>
      <x:c r="D23" s="24"/>
      <x:c r="E23" s="24"/>
      <x:c r="F23" s="24"/>
    </x:row>
    <x:row r="24" ht="26" customHeight="1">
      <x:c r="A24" s="24" t="str">
        <x:v>Which observed inventory lines are under their reorder levels?</x:v>
      </x:c>
      <x:c r="B24" s="24"/>
      <x:c r="C24" s="24"/>
      <x:c r="D24" s="24"/>
      <x:c r="E24" s="24"/>
      <x:c r="F24" s="24"/>
    </x:row>
    <x:row r="25" ht="26" customHeight="1">
      <x:c r="A25" s="24" t="str">
        <x:v>How sensitive might modeled spend be to a negotiated discount?</x:v>
      </x:c>
      <x:c r="B25" s="24"/>
      <x:c r="C25" s="24"/>
      <x:c r="D25" s="24"/>
      <x:c r="E25" s="24"/>
      <x:c r="F25" s="24"/>
    </x:row>
  </x:sheetData>
  <x:mergeCells>
    <x:mergeCell ref="A1:L1"/>
    <x:mergeCell ref="A2:L2"/>
    <x:mergeCell ref="A3:L3"/>
    <x:mergeCell ref="A13:F13"/>
    <x:mergeCell ref="A14:F14"/>
    <x:mergeCell ref="A15:F15"/>
    <x:mergeCell ref="A16:F16"/>
    <x:mergeCell ref="A17:F17"/>
    <x:mergeCell ref="A18:F18"/>
    <x:mergeCell ref="A19:F19"/>
    <x:mergeCell ref="A21:F21"/>
    <x:mergeCell ref="A22:F22"/>
    <x:mergeCell ref="A23:F23"/>
    <x:mergeCell ref="A24:F24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7" hidden="0" customWidth="1"/>
    <x:col min="4" max="4" width="18" hidden="0" customWidth="1"/>
    <x:col min="5" max="5" width="21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4" hidden="0" customWidth="1"/>
    <x:col min="11" max="11" width="20" hidden="0" customWidth="1"/>
    <x:col min="12" max="12" width="12" hidden="0" customWidth="1"/>
  </x:cols>
  <x:sheetData>
    <x:row r="1" ht="34" customHeight="1">
      <x:c r="A1" s="4" t="str">
        <x:v>SIMULATED SUPPLIER SCORECARDS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9" t="str">
        <x:v>Modeled POs | never interpret these as actual supplier performance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 ht="28" customHeight="1">
      <x:c r="A4" s="27" t="str">
        <x:v>Supplier Name</x:v>
      </x:c>
      <x:c r="B4" s="27" t="str">
        <x:v>PO Count</x:v>
      </x:c>
      <x:c r="C4" s="27" t="str">
        <x:v>Ordered Units</x:v>
      </x:c>
      <x:c r="D4" s="27" t="str">
        <x:v>Received Units</x:v>
      </x:c>
      <x:c r="E4" s="27" t="str">
        <x:v>Modeled Order $</x:v>
      </x:c>
      <x:c r="F4" s="27" t="str">
        <x:v>On-Time #</x:v>
      </x:c>
      <x:c r="G4" s="27" t="str">
        <x:v>OTIF #</x:v>
      </x:c>
      <x:c r="H4" s="27" t="str">
        <x:v>On-Time %</x:v>
      </x:c>
      <x:c r="I4" s="27" t="str">
        <x:v>OTIF %</x:v>
      </x:c>
      <x:c r="J4" s="27" t="str">
        <x:v>Unit Fill %</x:v>
      </x:c>
      <x:c r="K4" s="27" t="str">
        <x:v>Modeled Risk Band</x:v>
      </x:c>
      <x:c r="L4" s="27" t="str">
        <x:v>Open #</x:v>
      </x:c>
    </x:row>
    <x:row r="5" ht="18" customHeight="1">
      <x:c r="A5" t="str">
        <x:v>Vinder</x:v>
      </x:c>
      <x:c r="B5" t="n">
        <x:v>21</x:v>
      </x:c>
      <x:c r="C5" t="n">
        <x:v>1886</x:v>
      </x:c>
      <x:c r="D5" t="n">
        <x:v>1840</x:v>
      </x:c>
      <x:c r="E5" s="22" t="n">
        <x:v>26278.32</x:v>
      </x:c>
      <x:c r="F5" t="n">
        <x:v>16</x:v>
      </x:c>
      <x:c r="G5" t="n">
        <x:v>15</x:v>
      </x:c>
      <x:c r="H5" s="20" t="n">
        <x:f>IFERROR(F5/B5,0)</x:f>
        <x:v>0.7619047619047619</x:v>
      </x:c>
      <x:c r="I5" s="20" t="n">
        <x:f>IFERROR(G5/B5,0)</x:f>
        <x:v>0.7142857142857143</x:v>
      </x:c>
      <x:c r="J5" s="20" t="n">
        <x:f>IFERROR(D5/C5,0)</x:f>
        <x:v>0.975609756097561</x:v>
      </x:c>
      <x:c r="K5" t="str">
        <x:f>IF(B5&lt;Assumptions!$B$8,"Insufficient",IF(I5&lt;Assumptions!$B$9,"High",IF(I5&lt;Assumptions!$B$10,"Medium","Low")))</x:f>
        <x:v>Medium</x:v>
      </x:c>
      <x:c r="L5" t="n">
        <x:v>0</x:v>
      </x:c>
    </x:row>
    <x:row r="6" ht="18" customHeight="1">
      <x:c r="A6" t="str">
        <x:v>Youfeed</x:v>
      </x:c>
      <x:c r="B6" t="n">
        <x:v>15</x:v>
      </x:c>
      <x:c r="C6" t="n">
        <x:v>1189</x:v>
      </x:c>
      <x:c r="D6" t="n">
        <x:v>1189</x:v>
      </x:c>
      <x:c r="E6" s="22" t="n">
        <x:v>23275.16</x:v>
      </x:c>
      <x:c r="F6" t="n">
        <x:v>11</x:v>
      </x:c>
      <x:c r="G6" t="n">
        <x:v>11</x:v>
      </x:c>
      <x:c r="H6" s="20" t="n">
        <x:f>IFERROR(F6/B6,0)</x:f>
        <x:v>0.7333333333333333</x:v>
      </x:c>
      <x:c r="I6" s="20" t="n">
        <x:f>IFERROR(G6/B6,0)</x:f>
        <x:v>0.7333333333333333</x:v>
      </x:c>
      <x:c r="J6" s="20" t="n">
        <x:f>IFERROR(D6/C6,0)</x:f>
        <x:v>1</x:v>
      </x:c>
      <x:c r="K6" t="str">
        <x:f>IF(B6&lt;Assumptions!$B$8,"Insufficient",IF(I6&lt;Assumptions!$B$9,"High",IF(I6&lt;Assumptions!$B$10,"Medium","Low")))</x:f>
        <x:v>Medium</x:v>
      </x:c>
      <x:c r="L6" t="n">
        <x:v>0</x:v>
      </x:c>
    </x:row>
    <x:row r="7" ht="18" customHeight="1">
      <x:c r="A7" t="str">
        <x:v>Jaxspan</x:v>
      </x:c>
      <x:c r="B7" t="n">
        <x:v>19</x:v>
      </x:c>
      <x:c r="C7" t="n">
        <x:v>1869</x:v>
      </x:c>
      <x:c r="D7" t="n">
        <x:v>1789</x:v>
      </x:c>
      <x:c r="E7" s="22" t="n">
        <x:v>17376.17</x:v>
      </x:c>
      <x:c r="F7" t="n">
        <x:v>8</x:v>
      </x:c>
      <x:c r="G7" t="n">
        <x:v>8</x:v>
      </x:c>
      <x:c r="H7" s="20" t="n">
        <x:f>IFERROR(F7/B7,0)</x:f>
        <x:v>0.42105263157894735</x:v>
      </x:c>
      <x:c r="I7" s="20" t="n">
        <x:f>IFERROR(G7/B7,0)</x:f>
        <x:v>0.42105263157894735</x:v>
      </x:c>
      <x:c r="J7" s="20" t="n">
        <x:f>IFERROR(D7/C7,0)</x:f>
        <x:v>0.9571963616907437</x:v>
      </x:c>
      <x:c r="K7" t="str">
        <x:f>IF(B7&lt;Assumptions!$B$8,"Insufficient",IF(I7&lt;Assumptions!$B$9,"High",IF(I7&lt;Assumptions!$B$10,"Medium","Low")))</x:f>
        <x:v>High</x:v>
      </x:c>
      <x:c r="L7" t="n">
        <x:v>1</x:v>
      </x:c>
    </x:row>
    <x:row r="8" ht="18" customHeight="1">
      <x:c r="A8" t="str">
        <x:v>Feedbug</x:v>
      </x:c>
      <x:c r="B8" t="n">
        <x:v>9</x:v>
      </x:c>
      <x:c r="C8" t="n">
        <x:v>939</x:v>
      </x:c>
      <x:c r="D8" t="n">
        <x:v>722</x:v>
      </x:c>
      <x:c r="E8" s="22" t="n">
        <x:v>12594.05</x:v>
      </x:c>
      <x:c r="F8" t="n">
        <x:v>4</x:v>
      </x:c>
      <x:c r="G8" t="n">
        <x:v>3</x:v>
      </x:c>
      <x:c r="H8" s="20" t="n">
        <x:f>IFERROR(F8/B8,0)</x:f>
        <x:v>0.4444444444444444</x:v>
      </x:c>
      <x:c r="I8" s="20" t="n">
        <x:f>IFERROR(G8/B8,0)</x:f>
        <x:v>0.3333333333333333</x:v>
      </x:c>
      <x:c r="J8" s="20" t="n">
        <x:f>IFERROR(D8/C8,0)</x:f>
        <x:v>0.7689030883919062</x:v>
      </x:c>
      <x:c r="K8" t="str">
        <x:f>IF(B8&lt;Assumptions!$B$8,"Insufficient",IF(I8&lt;Assumptions!$B$9,"High",IF(I8&lt;Assumptions!$B$10,"Medium","Low")))</x:f>
        <x:v>High</x:v>
      </x:c>
      <x:c r="L8" t="n">
        <x:v>2</x:v>
      </x:c>
    </x:row>
    <x:row r="9" ht="18" customHeight="1">
      <x:c r="A9" t="str">
        <x:v>Browsecat</x:v>
      </x:c>
      <x:c r="B9" t="n">
        <x:v>8</x:v>
      </x:c>
      <x:c r="C9" t="n">
        <x:v>805</x:v>
      </x:c>
      <x:c r="D9" t="n">
        <x:v>542</x:v>
      </x:c>
      <x:c r="E9" s="22" t="n">
        <x:v>12194.69</x:v>
      </x:c>
      <x:c r="F9" t="n">
        <x:v>6</x:v>
      </x:c>
      <x:c r="G9" t="n">
        <x:v>6</x:v>
      </x:c>
      <x:c r="H9" s="20" t="n">
        <x:f>IFERROR(F9/B9,0)</x:f>
        <x:v>0.75</x:v>
      </x:c>
      <x:c r="I9" s="20" t="n">
        <x:f>IFERROR(G9/B9,0)</x:f>
        <x:v>0.75</x:v>
      </x:c>
      <x:c r="J9" s="20" t="n">
        <x:f>IFERROR(D9/C9,0)</x:f>
        <x:v>0.6732919254658385</x:v>
      </x:c>
      <x:c r="K9" t="str">
        <x:f>IF(B9&lt;Assumptions!$B$8,"Insufficient",IF(I9&lt;Assumptions!$B$9,"High",IF(I9&lt;Assumptions!$B$10,"Medium","Low")))</x:f>
        <x:v>Medium</x:v>
      </x:c>
      <x:c r="L9" t="n">
        <x:v>2</x:v>
      </x:c>
    </x:row>
    <x:row r="10" ht="18" customHeight="1">
      <x:c r="A10" t="str">
        <x:v>Rhycero</x:v>
      </x:c>
      <x:c r="B10" t="n">
        <x:v>10</x:v>
      </x:c>
      <x:c r="C10" t="n">
        <x:v>758</x:v>
      </x:c>
      <x:c r="D10" t="n">
        <x:v>758</x:v>
      </x:c>
      <x:c r="E10" s="22" t="n">
        <x:v>10744.81</x:v>
      </x:c>
      <x:c r="F10" t="n">
        <x:v>6</x:v>
      </x:c>
      <x:c r="G10" t="n">
        <x:v>6</x:v>
      </x:c>
      <x:c r="H10" s="20" t="n">
        <x:f>IFERROR(F10/B10,0)</x:f>
        <x:v>0.6</x:v>
      </x:c>
      <x:c r="I10" s="20" t="n">
        <x:f>IFERROR(G10/B10,0)</x:f>
        <x:v>0.6</x:v>
      </x:c>
      <x:c r="J10" s="20" t="n">
        <x:f>IFERROR(D10/C10,0)</x:f>
        <x:v>1</x:v>
      </x:c>
      <x:c r="K10" t="str">
        <x:f>IF(B10&lt;Assumptions!$B$8,"Insufficient",IF(I10&lt;Assumptions!$B$9,"High",IF(I10&lt;Assumptions!$B$10,"Medium","Low")))</x:f>
        <x:v>High</x:v>
      </x:c>
      <x:c r="L10" t="n">
        <x:v>0</x:v>
      </x:c>
    </x:row>
    <x:row r="11" ht="18" customHeight="1">
      <x:c r="A11" t="str">
        <x:v>Pixonyx</x:v>
      </x:c>
      <x:c r="B11" t="n">
        <x:v>13</x:v>
      </x:c>
      <x:c r="C11" t="n">
        <x:v>1094</x:v>
      </x:c>
      <x:c r="D11" t="n">
        <x:v>1006</x:v>
      </x:c>
      <x:c r="E11" s="22" t="n">
        <x:v>10669.69</x:v>
      </x:c>
      <x:c r="F11" t="n">
        <x:v>10</x:v>
      </x:c>
      <x:c r="G11" t="n">
        <x:v>8</x:v>
      </x:c>
      <x:c r="H11" s="20" t="n">
        <x:f>IFERROR(F11/B11,0)</x:f>
        <x:v>0.7692307692307693</x:v>
      </x:c>
      <x:c r="I11" s="20" t="n">
        <x:f>IFERROR(G11/B11,0)</x:f>
        <x:v>0.6153846153846154</x:v>
      </x:c>
      <x:c r="J11" s="20" t="n">
        <x:f>IFERROR(D11/C11,0)</x:f>
        <x:v>0.9195612431444241</x:v>
      </x:c>
      <x:c r="K11" t="str">
        <x:f>IF(B11&lt;Assumptions!$B$8,"Insufficient",IF(I11&lt;Assumptions!$B$9,"High",IF(I11&lt;Assumptions!$B$10,"Medium","Low")))</x:f>
        <x:v>High</x:v>
      </x:c>
      <x:c r="L11" t="n">
        <x:v>0</x:v>
      </x:c>
    </x:row>
    <x:row r="12" ht="18" customHeight="1">
      <x:c r="A12" t="str">
        <x:v>Rooxo</x:v>
      </x:c>
      <x:c r="B12" t="n">
        <x:v>9</x:v>
      </x:c>
      <x:c r="C12" t="n">
        <x:v>599</x:v>
      </x:c>
      <x:c r="D12" t="n">
        <x:v>587</x:v>
      </x:c>
      <x:c r="E12" s="22" t="n">
        <x:v>10226.61</x:v>
      </x:c>
      <x:c r="F12" t="n">
        <x:v>5</x:v>
      </x:c>
      <x:c r="G12" t="n">
        <x:v>4</x:v>
      </x:c>
      <x:c r="H12" s="20" t="n">
        <x:f>IFERROR(F12/B12,0)</x:f>
        <x:v>0.5555555555555556</x:v>
      </x:c>
      <x:c r="I12" s="20" t="n">
        <x:f>IFERROR(G12/B12,0)</x:f>
        <x:v>0.4444444444444444</x:v>
      </x:c>
      <x:c r="J12" s="20" t="n">
        <x:f>IFERROR(D12/C12,0)</x:f>
        <x:v>0.9799666110183639</x:v>
      </x:c>
      <x:c r="K12" t="str">
        <x:f>IF(B12&lt;Assumptions!$B$8,"Insufficient",IF(I12&lt;Assumptions!$B$9,"High",IF(I12&lt;Assumptions!$B$10,"Medium","Low")))</x:f>
        <x:v>High</x:v>
      </x:c>
      <x:c r="L12" t="n">
        <x:v>0</x:v>
      </x:c>
    </x:row>
    <x:row r="13" ht="18" customHeight="1">
      <x:c r="A13" t="str">
        <x:v>Katz</x:v>
      </x:c>
      <x:c r="B13" t="n">
        <x:v>32</x:v>
      </x:c>
      <x:c r="C13" t="n">
        <x:v>2523</x:v>
      </x:c>
      <x:c r="D13" t="n">
        <x:v>2154</x:v>
      </x:c>
      <x:c r="E13" s="22" t="n">
        <x:v>9940.82</x:v>
      </x:c>
      <x:c r="F13" t="n">
        <x:v>22</x:v>
      </x:c>
      <x:c r="G13" t="n">
        <x:v>19</x:v>
      </x:c>
      <x:c r="H13" s="20" t="n">
        <x:f>IFERROR(F13/B13,0)</x:f>
        <x:v>0.6875</x:v>
      </x:c>
      <x:c r="I13" s="20" t="n">
        <x:f>IFERROR(G13/B13,0)</x:f>
        <x:v>0.59375</x:v>
      </x:c>
      <x:c r="J13" s="20" t="n">
        <x:f>IFERROR(D13/C13,0)</x:f>
        <x:v>0.8537455410225921</x:v>
      </x:c>
      <x:c r="K13" t="str">
        <x:f>IF(B13&lt;Assumptions!$B$8,"Insufficient",IF(I13&lt;Assumptions!$B$9,"High",IF(I13&lt;Assumptions!$B$10,"Medium","Low")))</x:f>
        <x:v>High</x:v>
      </x:c>
      <x:c r="L13" t="n">
        <x:v>4</x:v>
      </x:c>
    </x:row>
    <x:row r="14" ht="18" customHeight="1">
      <x:c r="A14" t="str">
        <x:v>Tagcat</x:v>
      </x:c>
      <x:c r="B14" t="n">
        <x:v>10</x:v>
      </x:c>
      <x:c r="C14" t="n">
        <x:v>1082</x:v>
      </x:c>
      <x:c r="D14" t="n">
        <x:v>979</x:v>
      </x:c>
      <x:c r="E14" s="22" t="n">
        <x:v>9772.78</x:v>
      </x:c>
      <x:c r="F14" t="n">
        <x:v>6</x:v>
      </x:c>
      <x:c r="G14" t="n">
        <x:v>6</x:v>
      </x:c>
      <x:c r="H14" s="20" t="n">
        <x:f>IFERROR(F14/B14,0)</x:f>
        <x:v>0.6</x:v>
      </x:c>
      <x:c r="I14" s="20" t="n">
        <x:f>IFERROR(G14/B14,0)</x:f>
        <x:v>0.6</x:v>
      </x:c>
      <x:c r="J14" s="20" t="n">
        <x:f>IFERROR(D14/C14,0)</x:f>
        <x:v>0.9048059149722736</x:v>
      </x:c>
      <x:c r="K14" t="str">
        <x:f>IF(B14&lt;Assumptions!$B$8,"Insufficient",IF(I14&lt;Assumptions!$B$9,"High",IF(I14&lt;Assumptions!$B$10,"Medium","Low")))</x:f>
        <x:v>High</x:v>
      </x:c>
      <x:c r="L14" t="n">
        <x:v>1</x:v>
      </x:c>
    </x:row>
    <x:row r="15" ht="18" customHeight="1">
      <x:c r="A15" t="str">
        <x:v>Quatz</x:v>
      </x:c>
      <x:c r="B15" t="n">
        <x:v>31</x:v>
      </x:c>
      <x:c r="C15" t="n">
        <x:v>2422</x:v>
      </x:c>
      <x:c r="D15" t="n">
        <x:v>2329</x:v>
      </x:c>
      <x:c r="E15" s="22" t="n">
        <x:v>8674.26</x:v>
      </x:c>
      <x:c r="F15" t="n">
        <x:v>28</x:v>
      </x:c>
      <x:c r="G15" t="n">
        <x:v>25</x:v>
      </x:c>
      <x:c r="H15" s="20" t="n">
        <x:f>IFERROR(F15/B15,0)</x:f>
        <x:v>0.9032258064516129</x:v>
      </x:c>
      <x:c r="I15" s="20" t="n">
        <x:f>IFERROR(G15/B15,0)</x:f>
        <x:v>0.8064516129032258</x:v>
      </x:c>
      <x:c r="J15" s="20" t="n">
        <x:f>IFERROR(D15/C15,0)</x:f>
        <x:v>0.9616019818331957</x:v>
      </x:c>
      <x:c r="K15" t="str">
        <x:f>IF(B15&lt;Assumptions!$B$8,"Insufficient",IF(I15&lt;Assumptions!$B$9,"High",IF(I15&lt;Assumptions!$B$10,"Medium","Low")))</x:f>
        <x:v>Medium</x:v>
      </x:c>
      <x:c r="L15" t="n">
        <x:v>0</x:v>
      </x:c>
    </x:row>
    <x:row r="16" ht="18" customHeight="1">
      <x:c r="A16" t="str">
        <x:v>Youspan</x:v>
      </x:c>
      <x:c r="B16" t="n">
        <x:v>10</x:v>
      </x:c>
      <x:c r="C16" t="n">
        <x:v>824</x:v>
      </x:c>
      <x:c r="D16" t="n">
        <x:v>824</x:v>
      </x:c>
      <x:c r="E16" s="22" t="n">
        <x:v>8572.67</x:v>
      </x:c>
      <x:c r="F16" t="n">
        <x:v>7</x:v>
      </x:c>
      <x:c r="G16" t="n">
        <x:v>7</x:v>
      </x:c>
      <x:c r="H16" s="20" t="n">
        <x:f>IFERROR(F16/B16,0)</x:f>
        <x:v>0.7</x:v>
      </x:c>
      <x:c r="I16" s="20" t="n">
        <x:f>IFERROR(G16/B16,0)</x:f>
        <x:v>0.7</x:v>
      </x:c>
      <x:c r="J16" s="20" t="n">
        <x:f>IFERROR(D16/C16,0)</x:f>
        <x:v>1</x:v>
      </x:c>
      <x:c r="K16" t="str">
        <x:f>IF(B16&lt;Assumptions!$B$8,"Insufficient",IF(I16&lt;Assumptions!$B$9,"High",IF(I16&lt;Assumptions!$B$10,"Medium","Low")))</x:f>
        <x:v>Medium</x:v>
      </x:c>
      <x:c r="L16" t="n">
        <x:v>0</x:v>
      </x:c>
    </x:row>
    <x:row r="17" ht="18" customHeight="1">
      <x:c r="A17" t="str">
        <x:v>Jetpulse</x:v>
      </x:c>
      <x:c r="B17" t="n">
        <x:v>11</x:v>
      </x:c>
      <x:c r="C17" t="n">
        <x:v>1086</x:v>
      </x:c>
      <x:c r="D17" t="n">
        <x:v>862</x:v>
      </x:c>
      <x:c r="E17" s="22" t="n">
        <x:v>8180.99</x:v>
      </x:c>
      <x:c r="F17" t="n">
        <x:v>9</x:v>
      </x:c>
      <x:c r="G17" t="n">
        <x:v>4</x:v>
      </x:c>
      <x:c r="H17" s="20" t="n">
        <x:f>IFERROR(F17/B17,0)</x:f>
        <x:v>0.8181818181818182</x:v>
      </x:c>
      <x:c r="I17" s="20" t="n">
        <x:f>IFERROR(G17/B17,0)</x:f>
        <x:v>0.36363636363636365</x:v>
      </x:c>
      <x:c r="J17" s="20" t="n">
        <x:f>IFERROR(D17/C17,0)</x:f>
        <x:v>0.7937384898710865</x:v>
      </x:c>
      <x:c r="K17" t="str">
        <x:f>IF(B17&lt;Assumptions!$B$8,"Insufficient",IF(I17&lt;Assumptions!$B$9,"High",IF(I17&lt;Assumptions!$B$10,"Medium","Low")))</x:f>
        <x:v>High</x:v>
      </x:c>
      <x:c r="L17" t="n">
        <x:v>1</x:v>
      </x:c>
    </x:row>
    <x:row r="18" ht="18" customHeight="1">
      <x:c r="A18" t="str">
        <x:v>Thoughtbeat</x:v>
      </x:c>
      <x:c r="B18" t="n">
        <x:v>13</x:v>
      </x:c>
      <x:c r="C18" t="n">
        <x:v>1206</x:v>
      </x:c>
      <x:c r="D18" t="n">
        <x:v>1091</x:v>
      </x:c>
      <x:c r="E18" s="22" t="n">
        <x:v>8116.8</x:v>
      </x:c>
      <x:c r="F18" t="n">
        <x:v>13</x:v>
      </x:c>
      <x:c r="G18" t="n">
        <x:v>10</x:v>
      </x:c>
      <x:c r="H18" s="20" t="n">
        <x:f>IFERROR(F18/B18,0)</x:f>
        <x:v>1</x:v>
      </x:c>
      <x:c r="I18" s="20" t="n">
        <x:f>IFERROR(G18/B18,0)</x:f>
        <x:v>0.7692307692307693</x:v>
      </x:c>
      <x:c r="J18" s="20" t="n">
        <x:f>IFERROR(D18/C18,0)</x:f>
        <x:v>0.9046434494195689</x:v>
      </x:c>
      <x:c r="K18" t="str">
        <x:f>IF(B18&lt;Assumptions!$B$8,"Insufficient",IF(I18&lt;Assumptions!$B$9,"High",IF(I18&lt;Assumptions!$B$10,"Medium","Low")))</x:f>
        <x:v>Medium</x:v>
      </x:c>
      <x:c r="L18" t="n">
        <x:v>0</x:v>
      </x:c>
    </x:row>
    <x:row r="19" ht="18" customHeight="1">
      <x:c r="A19" t="str">
        <x:v>Skivee</x:v>
      </x:c>
      <x:c r="B19" t="n">
        <x:v>10</x:v>
      </x:c>
      <x:c r="C19" t="n">
        <x:v>1211</x:v>
      </x:c>
      <x:c r="D19" t="n">
        <x:v>1178</x:v>
      </x:c>
      <x:c r="E19" s="22" t="n">
        <x:v>7984.12</x:v>
      </x:c>
      <x:c r="F19" t="n">
        <x:v>7</x:v>
      </x:c>
      <x:c r="G19" t="n">
        <x:v>6</x:v>
      </x:c>
      <x:c r="H19" s="20" t="n">
        <x:f>IFERROR(F19/B19,0)</x:f>
        <x:v>0.7</x:v>
      </x:c>
      <x:c r="I19" s="20" t="n">
        <x:f>IFERROR(G19/B19,0)</x:f>
        <x:v>0.6</x:v>
      </x:c>
      <x:c r="J19" s="20" t="n">
        <x:f>IFERROR(D19/C19,0)</x:f>
        <x:v>0.9727497935590421</x:v>
      </x:c>
      <x:c r="K19" t="str">
        <x:f>IF(B19&lt;Assumptions!$B$8,"Insufficient",IF(I19&lt;Assumptions!$B$9,"High",IF(I19&lt;Assumptions!$B$10,"Medium","Low")))</x:f>
        <x:v>High</x:v>
      </x:c>
      <x:c r="L19" t="n">
        <x:v>0</x:v>
      </x:c>
    </x:row>
    <x:row r="20" ht="18" customHeight="1">
      <x:c r="A20" t="str">
        <x:v>Jayo</x:v>
      </x:c>
      <x:c r="B20" t="n">
        <x:v>11</x:v>
      </x:c>
      <x:c r="C20" t="n">
        <x:v>868</x:v>
      </x:c>
      <x:c r="D20" t="n">
        <x:v>743</x:v>
      </x:c>
      <x:c r="E20" s="22" t="n">
        <x:v>7637.02</x:v>
      </x:c>
      <x:c r="F20" t="n">
        <x:v>9</x:v>
      </x:c>
      <x:c r="G20" t="n">
        <x:v>5</x:v>
      </x:c>
      <x:c r="H20" s="20" t="n">
        <x:f>IFERROR(F20/B20,0)</x:f>
        <x:v>0.8181818181818182</x:v>
      </x:c>
      <x:c r="I20" s="20" t="n">
        <x:f>IFERROR(G20/B20,0)</x:f>
        <x:v>0.45454545454545453</x:v>
      </x:c>
      <x:c r="J20" s="20" t="n">
        <x:f>IFERROR(D20/C20,0)</x:f>
        <x:v>0.8559907834101382</x:v>
      </x:c>
      <x:c r="K20" t="str">
        <x:f>IF(B20&lt;Assumptions!$B$8,"Insufficient",IF(I20&lt;Assumptions!$B$9,"High",IF(I20&lt;Assumptions!$B$10,"Medium","Low")))</x:f>
        <x:v>High</x:v>
      </x:c>
      <x:c r="L20" t="n">
        <x:v>1</x:v>
      </x:c>
    </x:row>
    <x:row r="21" ht="18" customHeight="1">
      <x:c r="A21" t="str">
        <x:v>Skidoo</x:v>
      </x:c>
      <x:c r="B21" t="n">
        <x:v>17</x:v>
      </x:c>
      <x:c r="C21" t="n">
        <x:v>1047</x:v>
      </x:c>
      <x:c r="D21" t="n">
        <x:v>1013</x:v>
      </x:c>
      <x:c r="E21" s="22" t="n">
        <x:v>7581.89</x:v>
      </x:c>
      <x:c r="F21" t="n">
        <x:v>13</x:v>
      </x:c>
      <x:c r="G21" t="n">
        <x:v>12</x:v>
      </x:c>
      <x:c r="H21" s="20" t="n">
        <x:f>IFERROR(F21/B21,0)</x:f>
        <x:v>0.7647058823529411</x:v>
      </x:c>
      <x:c r="I21" s="20" t="n">
        <x:f>IFERROR(G21/B21,0)</x:f>
        <x:v>0.7058823529411765</x:v>
      </x:c>
      <x:c r="J21" s="20" t="n">
        <x:f>IFERROR(D21/C21,0)</x:f>
        <x:v>0.9675262655205349</x:v>
      </x:c>
      <x:c r="K21" t="str">
        <x:f>IF(B21&lt;Assumptions!$B$8,"Insufficient",IF(I21&lt;Assumptions!$B$9,"High",IF(I21&lt;Assumptions!$B$10,"Medium","Low")))</x:f>
        <x:v>Medium</x:v>
      </x:c>
      <x:c r="L21" t="n">
        <x:v>0</x:v>
      </x:c>
    </x:row>
    <x:row r="22" ht="18" customHeight="1">
      <x:c r="A22" t="str">
        <x:v>Viva</x:v>
      </x:c>
      <x:c r="B22" t="n">
        <x:v>10</x:v>
      </x:c>
      <x:c r="C22" t="n">
        <x:v>854</x:v>
      </x:c>
      <x:c r="D22" t="n">
        <x:v>656</x:v>
      </x:c>
      <x:c r="E22" s="22" t="n">
        <x:v>7524.68</x:v>
      </x:c>
      <x:c r="F22" t="n">
        <x:v>7</x:v>
      </x:c>
      <x:c r="G22" t="n">
        <x:v>6</x:v>
      </x:c>
      <x:c r="H22" s="20" t="n">
        <x:f>IFERROR(F22/B22,0)</x:f>
        <x:v>0.7</x:v>
      </x:c>
      <x:c r="I22" s="20" t="n">
        <x:f>IFERROR(G22/B22,0)</x:f>
        <x:v>0.6</x:v>
      </x:c>
      <x:c r="J22" s="20" t="n">
        <x:f>IFERROR(D22/C22,0)</x:f>
        <x:v>0.7681498829039812</x:v>
      </x:c>
      <x:c r="K22" t="str">
        <x:f>IF(B22&lt;Assumptions!$B$8,"Insufficient",IF(I22&lt;Assumptions!$B$9,"High",IF(I22&lt;Assumptions!$B$10,"Medium","Low")))</x:f>
        <x:v>High</x:v>
      </x:c>
      <x:c r="L22" t="n">
        <x:v>1</x:v>
      </x:c>
    </x:row>
    <x:row r="23" ht="18" customHeight="1">
      <x:c r="A23" t="str">
        <x:v>Rhyloo</x:v>
      </x:c>
      <x:c r="B23" t="n">
        <x:v>16</x:v>
      </x:c>
      <x:c r="C23" t="n">
        <x:v>1785</x:v>
      </x:c>
      <x:c r="D23" t="n">
        <x:v>1665</x:v>
      </x:c>
      <x:c r="E23" s="22" t="n">
        <x:v>7443.58</x:v>
      </x:c>
      <x:c r="F23" t="n">
        <x:v>15</x:v>
      </x:c>
      <x:c r="G23" t="n">
        <x:v>10</x:v>
      </x:c>
      <x:c r="H23" s="20" t="n">
        <x:f>IFERROR(F23/B23,0)</x:f>
        <x:v>0.9375</x:v>
      </x:c>
      <x:c r="I23" s="20" t="n">
        <x:f>IFERROR(G23/B23,0)</x:f>
        <x:v>0.625</x:v>
      </x:c>
      <x:c r="J23" s="20" t="n">
        <x:f>IFERROR(D23/C23,0)</x:f>
        <x:v>0.9327731092436975</x:v>
      </x:c>
      <x:c r="K23" t="str">
        <x:f>IF(B23&lt;Assumptions!$B$8,"Insufficient",IF(I23&lt;Assumptions!$B$9,"High",IF(I23&lt;Assumptions!$B$10,"Medium","Low")))</x:f>
        <x:v>High</x:v>
      </x:c>
      <x:c r="L23" t="n">
        <x:v>0</x:v>
      </x:c>
    </x:row>
    <x:row r="24" ht="18" customHeight="1">
      <x:c r="A24" t="str">
        <x:v>Zoovu</x:v>
      </x:c>
      <x:c r="B24" t="n">
        <x:v>13</x:v>
      </x:c>
      <x:c r="C24" t="n">
        <x:v>1229</x:v>
      </x:c>
      <x:c r="D24" t="n">
        <x:v>1077</x:v>
      </x:c>
      <x:c r="E24" s="22" t="n">
        <x:v>7309.8</x:v>
      </x:c>
      <x:c r="F24" t="n">
        <x:v>7</x:v>
      </x:c>
      <x:c r="G24" t="n">
        <x:v>6</x:v>
      </x:c>
      <x:c r="H24" s="20" t="n">
        <x:f>IFERROR(F24/B24,0)</x:f>
        <x:v>0.5384615384615384</x:v>
      </x:c>
      <x:c r="I24" s="20" t="n">
        <x:f>IFERROR(G24/B24,0)</x:f>
        <x:v>0.46153846153846156</x:v>
      </x:c>
      <x:c r="J24" s="20" t="n">
        <x:f>IFERROR(D24/C24,0)</x:f>
        <x:v>0.8763222131814483</x:v>
      </x:c>
      <x:c r="K24" t="str">
        <x:f>IF(B24&lt;Assumptions!$B$8,"Insufficient",IF(I24&lt;Assumptions!$B$9,"High",IF(I24&lt;Assumptions!$B$10,"Medium","Low")))</x:f>
        <x:v>High</x:v>
      </x:c>
      <x:c r="L24" t="n">
        <x:v>1</x:v>
      </x:c>
    </x:row>
    <x:row r="25" ht="18" customHeight="1">
      <x:c r="A25" t="str">
        <x:v>Gevee</x:v>
      </x:c>
      <x:c r="B25" t="n">
        <x:v>11</x:v>
      </x:c>
      <x:c r="C25" t="n">
        <x:v>1324</x:v>
      </x:c>
      <x:c r="D25" t="n">
        <x:v>1276</x:v>
      </x:c>
      <x:c r="E25" s="22" t="n">
        <x:v>7195.64</x:v>
      </x:c>
      <x:c r="F25" t="n">
        <x:v>6</x:v>
      </x:c>
      <x:c r="G25" t="n">
        <x:v>5</x:v>
      </x:c>
      <x:c r="H25" s="20" t="n">
        <x:f>IFERROR(F25/B25,0)</x:f>
        <x:v>0.5454545454545454</x:v>
      </x:c>
      <x:c r="I25" s="20" t="n">
        <x:f>IFERROR(G25/B25,0)</x:f>
        <x:v>0.45454545454545453</x:v>
      </x:c>
      <x:c r="J25" s="20" t="n">
        <x:f>IFERROR(D25/C25,0)</x:f>
        <x:v>0.9637462235649547</x:v>
      </x:c>
      <x:c r="K25" t="str">
        <x:f>IF(B25&lt;Assumptions!$B$8,"Insufficient",IF(I25&lt;Assumptions!$B$9,"High",IF(I25&lt;Assumptions!$B$10,"Medium","Low")))</x:f>
        <x:v>High</x:v>
      </x:c>
      <x:c r="L25" t="n">
        <x:v>0</x:v>
      </x:c>
    </x:row>
    <x:row r="26" ht="18" customHeight="1">
      <x:c r="A26" t="str">
        <x:v>Quaxo</x:v>
      </x:c>
      <x:c r="B26" t="n">
        <x:v>11</x:v>
      </x:c>
      <x:c r="C26" t="n">
        <x:v>689</x:v>
      </x:c>
      <x:c r="D26" t="n">
        <x:v>540</x:v>
      </x:c>
      <x:c r="E26" s="22" t="n">
        <x:v>7153.23</x:v>
      </x:c>
      <x:c r="F26" t="n">
        <x:v>10</x:v>
      </x:c>
      <x:c r="G26" t="n">
        <x:v>7</x:v>
      </x:c>
      <x:c r="H26" s="20" t="n">
        <x:f>IFERROR(F26/B26,0)</x:f>
        <x:v>0.9090909090909091</x:v>
      </x:c>
      <x:c r="I26" s="20" t="n">
        <x:f>IFERROR(G26/B26,0)</x:f>
        <x:v>0.6363636363636364</x:v>
      </x:c>
      <x:c r="J26" s="20" t="n">
        <x:f>IFERROR(D26/C26,0)</x:f>
        <x:v>0.783744557329463</x:v>
      </x:c>
      <x:c r="K26" t="str">
        <x:f>IF(B26&lt;Assumptions!$B$8,"Insufficient",IF(I26&lt;Assumptions!$B$9,"High",IF(I26&lt;Assumptions!$B$10,"Medium","Low")))</x:f>
        <x:v>High</x:v>
      </x:c>
      <x:c r="L26" t="n">
        <x:v>1</x:v>
      </x:c>
    </x:row>
    <x:row r="27" ht="18" customHeight="1">
      <x:c r="A27" t="str">
        <x:v>Shuffledrive</x:v>
      </x:c>
      <x:c r="B27" t="n">
        <x:v>17</x:v>
      </x:c>
      <x:c r="C27" t="n">
        <x:v>1180</x:v>
      </x:c>
      <x:c r="D27" t="n">
        <x:v>1167</x:v>
      </x:c>
      <x:c r="E27" s="22" t="n">
        <x:v>7037.74</x:v>
      </x:c>
      <x:c r="F27" t="n">
        <x:v>14</x:v>
      </x:c>
      <x:c r="G27" t="n">
        <x:v>13</x:v>
      </x:c>
      <x:c r="H27" s="20" t="n">
        <x:f>IFERROR(F27/B27,0)</x:f>
        <x:v>0.8235294117647058</x:v>
      </x:c>
      <x:c r="I27" s="20" t="n">
        <x:f>IFERROR(G27/B27,0)</x:f>
        <x:v>0.7647058823529411</x:v>
      </x:c>
      <x:c r="J27" s="20" t="n">
        <x:f>IFERROR(D27/C27,0)</x:f>
        <x:v>0.9889830508474576</x:v>
      </x:c>
      <x:c r="K27" t="str">
        <x:f>IF(B27&lt;Assumptions!$B$8,"Insufficient",IF(I27&lt;Assumptions!$B$9,"High",IF(I27&lt;Assumptions!$B$10,"Medium","Low")))</x:f>
        <x:v>Medium</x:v>
      </x:c>
      <x:c r="L27" t="n">
        <x:v>0</x:v>
      </x:c>
    </x:row>
    <x:row r="28" ht="18" customHeight="1">
      <x:c r="A28" t="str">
        <x:v>Realmix</x:v>
      </x:c>
      <x:c r="B28" t="n">
        <x:v>9</x:v>
      </x:c>
      <x:c r="C28" t="n">
        <x:v>867</x:v>
      </x:c>
      <x:c r="D28" t="n">
        <x:v>847</x:v>
      </x:c>
      <x:c r="E28" s="22" t="n">
        <x:v>6770.43</x:v>
      </x:c>
      <x:c r="F28" t="n">
        <x:v>6</x:v>
      </x:c>
      <x:c r="G28" t="n">
        <x:v>5</x:v>
      </x:c>
      <x:c r="H28" s="20" t="n">
        <x:f>IFERROR(F28/B28,0)</x:f>
        <x:v>0.6666666666666666</x:v>
      </x:c>
      <x:c r="I28" s="20" t="n">
        <x:f>IFERROR(G28/B28,0)</x:f>
        <x:v>0.5555555555555556</x:v>
      </x:c>
      <x:c r="J28" s="20" t="n">
        <x:f>IFERROR(D28/C28,0)</x:f>
        <x:v>0.9769319492502884</x:v>
      </x:c>
      <x:c r="K28" t="str">
        <x:f>IF(B28&lt;Assumptions!$B$8,"Insufficient",IF(I28&lt;Assumptions!$B$9,"High",IF(I28&lt;Assumptions!$B$10,"Medium","Low")))</x:f>
        <x:v>High</x:v>
      </x:c>
      <x:c r="L28" t="n">
        <x:v>0</x:v>
      </x:c>
    </x:row>
    <x:row r="29" ht="18" customHeight="1">
      <x:c r="A29" t="str">
        <x:v>Meemm</x:v>
      </x:c>
      <x:c r="B29" t="n">
        <x:v>8</x:v>
      </x:c>
      <x:c r="C29" t="n">
        <x:v>637</x:v>
      </x:c>
      <x:c r="D29" t="n">
        <x:v>582</x:v>
      </x:c>
      <x:c r="E29" s="22" t="n">
        <x:v>6450.85</x:v>
      </x:c>
      <x:c r="F29" t="n">
        <x:v>7</x:v>
      </x:c>
      <x:c r="G29" t="n">
        <x:v>4</x:v>
      </x:c>
      <x:c r="H29" s="20" t="n">
        <x:f>IFERROR(F29/B29,0)</x:f>
        <x:v>0.875</x:v>
      </x:c>
      <x:c r="I29" s="20" t="n">
        <x:f>IFERROR(G29/B29,0)</x:f>
        <x:v>0.5</x:v>
      </x:c>
      <x:c r="J29" s="20" t="n">
        <x:f>IFERROR(D29/C29,0)</x:f>
        <x:v>0.9136577708006279</x:v>
      </x:c>
      <x:c r="K29" t="str">
        <x:f>IF(B29&lt;Assumptions!$B$8,"Insufficient",IF(I29&lt;Assumptions!$B$9,"High",IF(I29&lt;Assumptions!$B$10,"Medium","Low")))</x:f>
        <x:v>High</x:v>
      </x:c>
      <x:c r="L29" t="n">
        <x:v>0</x:v>
      </x:c>
    </x:row>
    <x:row r="30" ht="18" customHeight="1">
      <x:c r="A30" t="str">
        <x:v>Meeveo</x:v>
      </x:c>
      <x:c r="B30" t="n">
        <x:v>13</x:v>
      </x:c>
      <x:c r="C30" t="n">
        <x:v>801</x:v>
      </x:c>
      <x:c r="D30" t="n">
        <x:v>801</x:v>
      </x:c>
      <x:c r="E30" s="22" t="n">
        <x:v>6443.36</x:v>
      </x:c>
      <x:c r="F30" t="n">
        <x:v>7</x:v>
      </x:c>
      <x:c r="G30" t="n">
        <x:v>7</x:v>
      </x:c>
      <x:c r="H30" s="20" t="n">
        <x:f>IFERROR(F30/B30,0)</x:f>
        <x:v>0.5384615384615384</x:v>
      </x:c>
      <x:c r="I30" s="20" t="n">
        <x:f>IFERROR(G30/B30,0)</x:f>
        <x:v>0.5384615384615384</x:v>
      </x:c>
      <x:c r="J30" s="20" t="n">
        <x:f>IFERROR(D30/C30,0)</x:f>
        <x:v>1</x:v>
      </x:c>
      <x:c r="K30" t="str">
        <x:f>IF(B30&lt;Assumptions!$B$8,"Insufficient",IF(I30&lt;Assumptions!$B$9,"High",IF(I30&lt;Assumptions!$B$10,"Medium","Low")))</x:f>
        <x:v>High</x:v>
      </x:c>
      <x:c r="L30" t="n">
        <x:v>0</x:v>
      </x:c>
    </x:row>
    <x:row r="31" ht="18" customHeight="1">
      <x:c r="A31" t="str">
        <x:v>Wikido</x:v>
      </x:c>
      <x:c r="B31" t="n">
        <x:v>7</x:v>
      </x:c>
      <x:c r="C31" t="n">
        <x:v>652</x:v>
      </x:c>
      <x:c r="D31" t="n">
        <x:v>544</x:v>
      </x:c>
      <x:c r="E31" s="22" t="n">
        <x:v>6394.67</x:v>
      </x:c>
      <x:c r="F31" t="n">
        <x:v>5</x:v>
      </x:c>
      <x:c r="G31" t="n">
        <x:v>2</x:v>
      </x:c>
      <x:c r="H31" s="20" t="n">
        <x:f>IFERROR(F31/B31,0)</x:f>
        <x:v>0.7142857142857143</x:v>
      </x:c>
      <x:c r="I31" s="20" t="n">
        <x:f>IFERROR(G31/B31,0)</x:f>
        <x:v>0.2857142857142857</x:v>
      </x:c>
      <x:c r="J31" s="20" t="n">
        <x:f>IFERROR(D31/C31,0)</x:f>
        <x:v>0.8343558282208589</x:v>
      </x:c>
      <x:c r="K31" t="str">
        <x:f>IF(B31&lt;Assumptions!$B$8,"Insufficient",IF(I31&lt;Assumptions!$B$9,"High",IF(I31&lt;Assumptions!$B$10,"Medium","Low")))</x:f>
        <x:v>High</x:v>
      </x:c>
      <x:c r="L31" t="n">
        <x:v>1</x:v>
      </x:c>
    </x:row>
    <x:row r="32" ht="18" customHeight="1">
      <x:c r="A32" t="str">
        <x:v>Izio</x:v>
      </x:c>
      <x:c r="B32" t="n">
        <x:v>13</x:v>
      </x:c>
      <x:c r="C32" t="n">
        <x:v>1047</x:v>
      </x:c>
      <x:c r="D32" t="n">
        <x:v>1005</x:v>
      </x:c>
      <x:c r="E32" s="22" t="n">
        <x:v>6368.33</x:v>
      </x:c>
      <x:c r="F32" t="n">
        <x:v>13</x:v>
      </x:c>
      <x:c r="G32" t="n">
        <x:v>12</x:v>
      </x:c>
      <x:c r="H32" s="20" t="n">
        <x:f>IFERROR(F32/B32,0)</x:f>
        <x:v>1</x:v>
      </x:c>
      <x:c r="I32" s="20" t="n">
        <x:f>IFERROR(G32/B32,0)</x:f>
        <x:v>0.9230769230769231</x:v>
      </x:c>
      <x:c r="J32" s="20" t="n">
        <x:f>IFERROR(D32/C32,0)</x:f>
        <x:v>0.9598853868194842</x:v>
      </x:c>
      <x:c r="K32" t="str">
        <x:f>IF(B32&lt;Assumptions!$B$8,"Insufficient",IF(I32&lt;Assumptions!$B$9,"High",IF(I32&lt;Assumptions!$B$10,"Medium","Low")))</x:f>
        <x:v>Low</x:v>
      </x:c>
      <x:c r="L32" t="n">
        <x:v>0</x:v>
      </x:c>
    </x:row>
    <x:row r="33" ht="18" customHeight="1">
      <x:c r="A33" t="str">
        <x:v>Thoughtblab</x:v>
      </x:c>
      <x:c r="B33" t="n">
        <x:v>15</x:v>
      </x:c>
      <x:c r="C33" t="n">
        <x:v>1767</x:v>
      </x:c>
      <x:c r="D33" t="n">
        <x:v>1580</x:v>
      </x:c>
      <x:c r="E33" s="22" t="n">
        <x:v>6075.19</x:v>
      </x:c>
      <x:c r="F33" t="n">
        <x:v>12</x:v>
      </x:c>
      <x:c r="G33" t="n">
        <x:v>9</x:v>
      </x:c>
      <x:c r="H33" s="20" t="n">
        <x:f>IFERROR(F33/B33,0)</x:f>
        <x:v>0.8</x:v>
      </x:c>
      <x:c r="I33" s="20" t="n">
        <x:f>IFERROR(G33/B33,0)</x:f>
        <x:v>0.6</x:v>
      </x:c>
      <x:c r="J33" s="20" t="n">
        <x:f>IFERROR(D33/C33,0)</x:f>
        <x:v>0.8941709111488398</x:v>
      </x:c>
      <x:c r="K33" t="str">
        <x:f>IF(B33&lt;Assumptions!$B$8,"Insufficient",IF(I33&lt;Assumptions!$B$9,"High",IF(I33&lt;Assumptions!$B$10,"Medium","Low")))</x:f>
        <x:v>High</x:v>
      </x:c>
      <x:c r="L33" t="n">
        <x:v>1</x:v>
      </x:c>
    </x:row>
    <x:row r="34" ht="18" customHeight="1">
      <x:c r="A34" t="str">
        <x:v>Brightbean</x:v>
      </x:c>
      <x:c r="B34" t="n">
        <x:v>15</x:v>
      </x:c>
      <x:c r="C34" t="n">
        <x:v>1161</x:v>
      </x:c>
      <x:c r="D34" t="n">
        <x:v>880</x:v>
      </x:c>
      <x:c r="E34" s="22" t="n">
        <x:v>5896.94</x:v>
      </x:c>
      <x:c r="F34" t="n">
        <x:v>8</x:v>
      </x:c>
      <x:c r="G34" t="n">
        <x:v>7</x:v>
      </x:c>
      <x:c r="H34" s="20" t="n">
        <x:f>IFERROR(F34/B34,0)</x:f>
        <x:v>0.5333333333333333</x:v>
      </x:c>
      <x:c r="I34" s="20" t="n">
        <x:f>IFERROR(G34/B34,0)</x:f>
        <x:v>0.4666666666666667</x:v>
      </x:c>
      <x:c r="J34" s="20" t="n">
        <x:f>IFERROR(D34/C34,0)</x:f>
        <x:v>0.7579672695951766</x:v>
      </x:c>
      <x:c r="K34" t="str">
        <x:f>IF(B34&lt;Assumptions!$B$8,"Insufficient",IF(I34&lt;Assumptions!$B$9,"High",IF(I34&lt;Assumptions!$B$10,"Medium","Low")))</x:f>
        <x:v>High</x:v>
      </x:c>
      <x:c r="L34" t="n">
        <x:v>3</x:v>
      </x:c>
    </x:row>
    <x:row r="35" ht="18" customHeight="1">
      <x:c r="A35" t="str">
        <x:v>Devshare</x:v>
      </x:c>
      <x:c r="B35" t="n">
        <x:v>16</x:v>
      </x:c>
      <x:c r="C35" t="n">
        <x:v>1751</x:v>
      </x:c>
      <x:c r="D35" t="n">
        <x:v>1703</x:v>
      </x:c>
      <x:c r="E35" s="22" t="n">
        <x:v>5884.44</x:v>
      </x:c>
      <x:c r="F35" t="n">
        <x:v>10</x:v>
      </x:c>
      <x:c r="G35" t="n">
        <x:v>10</x:v>
      </x:c>
      <x:c r="H35" s="20" t="n">
        <x:f>IFERROR(F35/B35,0)</x:f>
        <x:v>0.625</x:v>
      </x:c>
      <x:c r="I35" s="20" t="n">
        <x:f>IFERROR(G35/B35,0)</x:f>
        <x:v>0.625</x:v>
      </x:c>
      <x:c r="J35" s="20" t="n">
        <x:f>IFERROR(D35/C35,0)</x:f>
        <x:v>0.9725870930896631</x:v>
      </x:c>
      <x:c r="K35" t="str">
        <x:f>IF(B35&lt;Assumptions!$B$8,"Insufficient",IF(I35&lt;Assumptions!$B$9,"High",IF(I35&lt;Assumptions!$B$10,"Medium","Low")))</x:f>
        <x:v>High</x:v>
      </x:c>
      <x:c r="L35" t="n">
        <x:v>0</x:v>
      </x:c>
    </x:row>
    <x:row r="36" ht="18" customHeight="1">
      <x:c r="A36" t="str">
        <x:v>Quamba</x:v>
      </x:c>
      <x:c r="B36" t="n">
        <x:v>9</x:v>
      </x:c>
      <x:c r="C36" t="n">
        <x:v>702</x:v>
      </x:c>
      <x:c r="D36" t="n">
        <x:v>603</x:v>
      </x:c>
      <x:c r="E36" s="22" t="n">
        <x:v>5854.97</x:v>
      </x:c>
      <x:c r="F36" t="n">
        <x:v>7</x:v>
      </x:c>
      <x:c r="G36" t="n">
        <x:v>6</x:v>
      </x:c>
      <x:c r="H36" s="20" t="n">
        <x:f>IFERROR(F36/B36,0)</x:f>
        <x:v>0.7777777777777778</x:v>
      </x:c>
      <x:c r="I36" s="20" t="n">
        <x:f>IFERROR(G36/B36,0)</x:f>
        <x:v>0.6666666666666666</x:v>
      </x:c>
      <x:c r="J36" s="20" t="n">
        <x:f>IFERROR(D36/C36,0)</x:f>
        <x:v>0.8589743589743589</x:v>
      </x:c>
      <x:c r="K36" t="str">
        <x:f>IF(B36&lt;Assumptions!$B$8,"Insufficient",IF(I36&lt;Assumptions!$B$9,"High",IF(I36&lt;Assumptions!$B$10,"Medium","Low")))</x:f>
        <x:v>Medium</x:v>
      </x:c>
      <x:c r="L36" t="n">
        <x:v>1</x:v>
      </x:c>
    </x:row>
    <x:row r="37" ht="18" customHeight="1">
      <x:c r="A37" t="str">
        <x:v>Flipbug</x:v>
      </x:c>
      <x:c r="B37" t="n">
        <x:v>18</x:v>
      </x:c>
      <x:c r="C37" t="n">
        <x:v>888</x:v>
      </x:c>
      <x:c r="D37" t="n">
        <x:v>852</x:v>
      </x:c>
      <x:c r="E37" s="22" t="n">
        <x:v>5785.55</x:v>
      </x:c>
      <x:c r="F37" t="n">
        <x:v>16</x:v>
      </x:c>
      <x:c r="G37" t="n">
        <x:v>14</x:v>
      </x:c>
      <x:c r="H37" s="20" t="n">
        <x:f>IFERROR(F37/B37,0)</x:f>
        <x:v>0.8888888888888888</x:v>
      </x:c>
      <x:c r="I37" s="20" t="n">
        <x:f>IFERROR(G37/B37,0)</x:f>
        <x:v>0.7777777777777778</x:v>
      </x:c>
      <x:c r="J37" s="20" t="n">
        <x:f>IFERROR(D37/C37,0)</x:f>
        <x:v>0.9594594594594594</x:v>
      </x:c>
      <x:c r="K37" t="str">
        <x:f>IF(B37&lt;Assumptions!$B$8,"Insufficient",IF(I37&lt;Assumptions!$B$9,"High",IF(I37&lt;Assumptions!$B$10,"Medium","Low")))</x:f>
        <x:v>Medium</x:v>
      </x:c>
      <x:c r="L37" t="n">
        <x:v>0</x:v>
      </x:c>
    </x:row>
    <x:row r="38" ht="18" customHeight="1">
      <x:c r="A38" t="str">
        <x:v>Lajo</x:v>
      </x:c>
      <x:c r="B38" t="n">
        <x:v>13</x:v>
      </x:c>
      <x:c r="C38" t="n">
        <x:v>983</x:v>
      </x:c>
      <x:c r="D38" t="n">
        <x:v>983</x:v>
      </x:c>
      <x:c r="E38" s="22" t="n">
        <x:v>5756.96</x:v>
      </x:c>
      <x:c r="F38" t="n">
        <x:v>7</x:v>
      </x:c>
      <x:c r="G38" t="n">
        <x:v>7</x:v>
      </x:c>
      <x:c r="H38" s="20" t="n">
        <x:f>IFERROR(F38/B38,0)</x:f>
        <x:v>0.5384615384615384</x:v>
      </x:c>
      <x:c r="I38" s="20" t="n">
        <x:f>IFERROR(G38/B38,0)</x:f>
        <x:v>0.5384615384615384</x:v>
      </x:c>
      <x:c r="J38" s="20" t="n">
        <x:f>IFERROR(D38/C38,0)</x:f>
        <x:v>1</x:v>
      </x:c>
      <x:c r="K38" t="str">
        <x:f>IF(B38&lt;Assumptions!$B$8,"Insufficient",IF(I38&lt;Assumptions!$B$9,"High",IF(I38&lt;Assumptions!$B$10,"Medium","Low")))</x:f>
        <x:v>High</x:v>
      </x:c>
      <x:c r="L38" t="n">
        <x:v>0</x:v>
      </x:c>
    </x:row>
    <x:row r="39" ht="18" customHeight="1">
      <x:c r="A39" t="str">
        <x:v>Rhynoodle</x:v>
      </x:c>
      <x:c r="B39" t="n">
        <x:v>6</x:v>
      </x:c>
      <x:c r="C39" t="n">
        <x:v>779</x:v>
      </x:c>
      <x:c r="D39" t="n">
        <x:v>625</x:v>
      </x:c>
      <x:c r="E39" s="22" t="n">
        <x:v>5710.86</x:v>
      </x:c>
      <x:c r="F39" t="n">
        <x:v>3</x:v>
      </x:c>
      <x:c r="G39" t="n">
        <x:v>2</x:v>
      </x:c>
      <x:c r="H39" s="20" t="n">
        <x:f>IFERROR(F39/B39,0)</x:f>
        <x:v>0.5</x:v>
      </x:c>
      <x:c r="I39" s="20" t="n">
        <x:f>IFERROR(G39/B39,0)</x:f>
        <x:v>0.3333333333333333</x:v>
      </x:c>
      <x:c r="J39" s="20" t="n">
        <x:f>IFERROR(D39/C39,0)</x:f>
        <x:v>0.8023106546854942</x:v>
      </x:c>
      <x:c r="K39" t="str">
        <x:f>IF(B39&lt;Assumptions!$B$8,"Insufficient",IF(I39&lt;Assumptions!$B$9,"High",IF(I39&lt;Assumptions!$B$10,"Medium","Low")))</x:f>
        <x:v>High</x:v>
      </x:c>
      <x:c r="L39" t="n">
        <x:v>1</x:v>
      </x:c>
    </x:row>
    <x:row r="40" ht="18" customHeight="1">
      <x:c r="A40" t="str">
        <x:v>Camimbo</x:v>
      </x:c>
      <x:c r="B40" t="n">
        <x:v>8</x:v>
      </x:c>
      <x:c r="C40" t="n">
        <x:v>663</x:v>
      </x:c>
      <x:c r="D40" t="n">
        <x:v>558</x:v>
      </x:c>
      <x:c r="E40" s="22" t="n">
        <x:v>5685.81</x:v>
      </x:c>
      <x:c r="F40" t="n">
        <x:v>5</x:v>
      </x:c>
      <x:c r="G40" t="n">
        <x:v>3</x:v>
      </x:c>
      <x:c r="H40" s="20" t="n">
        <x:f>IFERROR(F40/B40,0)</x:f>
        <x:v>0.625</x:v>
      </x:c>
      <x:c r="I40" s="20" t="n">
        <x:f>IFERROR(G40/B40,0)</x:f>
        <x:v>0.375</x:v>
      </x:c>
      <x:c r="J40" s="20" t="n">
        <x:f>IFERROR(D40/C40,0)</x:f>
        <x:v>0.8416289592760181</x:v>
      </x:c>
      <x:c r="K40" t="str">
        <x:f>IF(B40&lt;Assumptions!$B$8,"Insufficient",IF(I40&lt;Assumptions!$B$9,"High",IF(I40&lt;Assumptions!$B$10,"Medium","Low")))</x:f>
        <x:v>High</x:v>
      </x:c>
      <x:c r="L40" t="n">
        <x:v>1</x:v>
      </x:c>
    </x:row>
    <x:row r="41" ht="18" customHeight="1">
      <x:c r="A41" t="str">
        <x:v>Brainverse</x:v>
      </x:c>
      <x:c r="B41" t="n">
        <x:v>13</x:v>
      </x:c>
      <x:c r="C41" t="n">
        <x:v>905</x:v>
      </x:c>
      <x:c r="D41" t="n">
        <x:v>841</x:v>
      </x:c>
      <x:c r="E41" s="22" t="n">
        <x:v>5679.96</x:v>
      </x:c>
      <x:c r="F41" t="n">
        <x:v>6</x:v>
      </x:c>
      <x:c r="G41" t="n">
        <x:v>6</x:v>
      </x:c>
      <x:c r="H41" s="20" t="n">
        <x:f>IFERROR(F41/B41,0)</x:f>
        <x:v>0.46153846153846156</x:v>
      </x:c>
      <x:c r="I41" s="20" t="n">
        <x:f>IFERROR(G41/B41,0)</x:f>
        <x:v>0.46153846153846156</x:v>
      </x:c>
      <x:c r="J41" s="20" t="n">
        <x:f>IFERROR(D41/C41,0)</x:f>
        <x:v>0.9292817679558011</x:v>
      </x:c>
      <x:c r="K41" t="str">
        <x:f>IF(B41&lt;Assumptions!$B$8,"Insufficient",IF(I41&lt;Assumptions!$B$9,"High",IF(I41&lt;Assumptions!$B$10,"Medium","Low")))</x:f>
        <x:v>High</x:v>
      </x:c>
      <x:c r="L41" t="n">
        <x:v>1</x:v>
      </x:c>
    </x:row>
    <x:row r="42" ht="18" customHeight="1">
      <x:c r="A42" t="str">
        <x:v>Devbug</x:v>
      </x:c>
      <x:c r="B42" t="n">
        <x:v>13</x:v>
      </x:c>
      <x:c r="C42" t="n">
        <x:v>1378</x:v>
      </x:c>
      <x:c r="D42" t="n">
        <x:v>1300</x:v>
      </x:c>
      <x:c r="E42" s="22" t="n">
        <x:v>5666.19</x:v>
      </x:c>
      <x:c r="F42" t="n">
        <x:v>12</x:v>
      </x:c>
      <x:c r="G42" t="n">
        <x:v>12</x:v>
      </x:c>
      <x:c r="H42" s="20" t="n">
        <x:f>IFERROR(F42/B42,0)</x:f>
        <x:v>0.9230769230769231</x:v>
      </x:c>
      <x:c r="I42" s="20" t="n">
        <x:f>IFERROR(G42/B42,0)</x:f>
        <x:v>0.9230769230769231</x:v>
      </x:c>
      <x:c r="J42" s="20" t="n">
        <x:f>IFERROR(D42/C42,0)</x:f>
        <x:v>0.9433962264150944</x:v>
      </x:c>
      <x:c r="K42" t="str">
        <x:f>IF(B42&lt;Assumptions!$B$8,"Insufficient",IF(I42&lt;Assumptions!$B$9,"High",IF(I42&lt;Assumptions!$B$10,"Medium","Low")))</x:f>
        <x:v>Low</x:v>
      </x:c>
      <x:c r="L42" t="n">
        <x:v>1</x:v>
      </x:c>
    </x:row>
    <x:row r="43" ht="18" customHeight="1">
      <x:c r="A43" t="str">
        <x:v>Twitterwire</x:v>
      </x:c>
      <x:c r="B43" t="n">
        <x:v>20</x:v>
      </x:c>
      <x:c r="C43" t="n">
        <x:v>1911</x:v>
      </x:c>
      <x:c r="D43" t="n">
        <x:v>1584</x:v>
      </x:c>
      <x:c r="E43" s="22" t="n">
        <x:v>5635.71</x:v>
      </x:c>
      <x:c r="F43" t="n">
        <x:v>11</x:v>
      </x:c>
      <x:c r="G43" t="n">
        <x:v>9</x:v>
      </x:c>
      <x:c r="H43" s="20" t="n">
        <x:f>IFERROR(F43/B43,0)</x:f>
        <x:v>0.55</x:v>
      </x:c>
      <x:c r="I43" s="20" t="n">
        <x:f>IFERROR(G43/B43,0)</x:f>
        <x:v>0.45</x:v>
      </x:c>
      <x:c r="J43" s="20" t="n">
        <x:f>IFERROR(D43/C43,0)</x:f>
        <x:v>0.8288854003139717</x:v>
      </x:c>
      <x:c r="K43" t="str">
        <x:f>IF(B43&lt;Assumptions!$B$8,"Insufficient",IF(I43&lt;Assumptions!$B$9,"High",IF(I43&lt;Assumptions!$B$10,"Medium","Low")))</x:f>
        <x:v>High</x:v>
      </x:c>
      <x:c r="L43" t="n">
        <x:v>3</x:v>
      </x:c>
    </x:row>
    <x:row r="44" ht="18" customHeight="1">
      <x:c r="A44" t="str">
        <x:v>Innojam</x:v>
      </x:c>
      <x:c r="B44" t="n">
        <x:v>14</x:v>
      </x:c>
      <x:c r="C44" t="n">
        <x:v>943</x:v>
      </x:c>
      <x:c r="D44" t="n">
        <x:v>889</x:v>
      </x:c>
      <x:c r="E44" s="22" t="n">
        <x:v>5493.62</x:v>
      </x:c>
      <x:c r="F44" t="n">
        <x:v>8</x:v>
      </x:c>
      <x:c r="G44" t="n">
        <x:v>6</x:v>
      </x:c>
      <x:c r="H44" s="20" t="n">
        <x:f>IFERROR(F44/B44,0)</x:f>
        <x:v>0.5714285714285714</x:v>
      </x:c>
      <x:c r="I44" s="20" t="n">
        <x:f>IFERROR(G44/B44,0)</x:f>
        <x:v>0.42857142857142855</x:v>
      </x:c>
      <x:c r="J44" s="20" t="n">
        <x:f>IFERROR(D44/C44,0)</x:f>
        <x:v>0.9427359490986215</x:v>
      </x:c>
      <x:c r="K44" t="str">
        <x:f>IF(B44&lt;Assumptions!$B$8,"Insufficient",IF(I44&lt;Assumptions!$B$9,"High",IF(I44&lt;Assumptions!$B$10,"Medium","Low")))</x:f>
        <x:v>High</x:v>
      </x:c>
      <x:c r="L44" t="n">
        <x:v>0</x:v>
      </x:c>
    </x:row>
    <x:row r="45" ht="18" customHeight="1">
      <x:c r="A45" t="str">
        <x:v>Tagpad</x:v>
      </x:c>
      <x:c r="B45" t="n">
        <x:v>10</x:v>
      </x:c>
      <x:c r="C45" t="n">
        <x:v>702</x:v>
      </x:c>
      <x:c r="D45" t="n">
        <x:v>537</x:v>
      </x:c>
      <x:c r="E45" s="22" t="n">
        <x:v>5464.2</x:v>
      </x:c>
      <x:c r="F45" t="n">
        <x:v>6</x:v>
      </x:c>
      <x:c r="G45" t="n">
        <x:v>4</x:v>
      </x:c>
      <x:c r="H45" s="20" t="n">
        <x:f>IFERROR(F45/B45,0)</x:f>
        <x:v>0.6</x:v>
      </x:c>
      <x:c r="I45" s="20" t="n">
        <x:f>IFERROR(G45/B45,0)</x:f>
        <x:v>0.4</x:v>
      </x:c>
      <x:c r="J45" s="20" t="n">
        <x:f>IFERROR(D45/C45,0)</x:f>
        <x:v>0.7649572649572649</x:v>
      </x:c>
      <x:c r="K45" t="str">
        <x:f>IF(B45&lt;Assumptions!$B$8,"Insufficient",IF(I45&lt;Assumptions!$B$9,"High",IF(I45&lt;Assumptions!$B$10,"Medium","Low")))</x:f>
        <x:v>High</x:v>
      </x:c>
      <x:c r="L45" t="n">
        <x:v>1</x:v>
      </x:c>
    </x:row>
    <x:row r="46" ht="18" customHeight="1">
      <x:c r="A46" t="str">
        <x:v>Chatterbridge</x:v>
      </x:c>
      <x:c r="B46" t="n">
        <x:v>14</x:v>
      </x:c>
      <x:c r="C46" t="n">
        <x:v>1039</x:v>
      </x:c>
      <x:c r="D46" t="n">
        <x:v>966</x:v>
      </x:c>
      <x:c r="E46" s="22" t="n">
        <x:v>5438.97</x:v>
      </x:c>
      <x:c r="F46" t="n">
        <x:v>13</x:v>
      </x:c>
      <x:c r="G46" t="n">
        <x:v>10</x:v>
      </x:c>
      <x:c r="H46" s="20" t="n">
        <x:f>IFERROR(F46/B46,0)</x:f>
        <x:v>0.9285714285714286</x:v>
      </x:c>
      <x:c r="I46" s="20" t="n">
        <x:f>IFERROR(G46/B46,0)</x:f>
        <x:v>0.7142857142857143</x:v>
      </x:c>
      <x:c r="J46" s="20" t="n">
        <x:f>IFERROR(D46/C46,0)</x:f>
        <x:v>0.9297401347449471</x:v>
      </x:c>
      <x:c r="K46" t="str">
        <x:f>IF(B46&lt;Assumptions!$B$8,"Insufficient",IF(I46&lt;Assumptions!$B$9,"High",IF(I46&lt;Assumptions!$B$10,"Medium","Low")))</x:f>
        <x:v>Medium</x:v>
      </x:c>
      <x:c r="L46" t="n">
        <x:v>1</x:v>
      </x:c>
    </x:row>
    <x:row r="47" ht="18" customHeight="1">
      <x:c r="A47" t="str">
        <x:v>Photobug</x:v>
      </x:c>
      <x:c r="B47" t="n">
        <x:v>22</x:v>
      </x:c>
      <x:c r="C47" t="n">
        <x:v>1667</x:v>
      </x:c>
      <x:c r="D47" t="n">
        <x:v>1360</x:v>
      </x:c>
      <x:c r="E47" s="22" t="n">
        <x:v>5418.09</x:v>
      </x:c>
      <x:c r="F47" t="n">
        <x:v>12</x:v>
      </x:c>
      <x:c r="G47" t="n">
        <x:v>11</x:v>
      </x:c>
      <x:c r="H47" s="20" t="n">
        <x:f>IFERROR(F47/B47,0)</x:f>
        <x:v>0.5454545454545454</x:v>
      </x:c>
      <x:c r="I47" s="20" t="n">
        <x:f>IFERROR(G47/B47,0)</x:f>
        <x:v>0.5</x:v>
      </x:c>
      <x:c r="J47" s="20" t="n">
        <x:f>IFERROR(D47/C47,0)</x:f>
        <x:v>0.8158368326334733</x:v>
      </x:c>
      <x:c r="K47" t="str">
        <x:f>IF(B47&lt;Assumptions!$B$8,"Insufficient",IF(I47&lt;Assumptions!$B$9,"High",IF(I47&lt;Assumptions!$B$10,"Medium","Low")))</x:f>
        <x:v>High</x:v>
      </x:c>
      <x:c r="L47" t="n">
        <x:v>4</x:v>
      </x:c>
    </x:row>
    <x:row r="48" ht="18" customHeight="1">
      <x:c r="A48" t="str">
        <x:v>Kwimbee</x:v>
      </x:c>
      <x:c r="B48" t="n">
        <x:v>11</x:v>
      </x:c>
      <x:c r="C48" t="n">
        <x:v>861</x:v>
      </x:c>
      <x:c r="D48" t="n">
        <x:v>641</x:v>
      </x:c>
      <x:c r="E48" s="22" t="n">
        <x:v>5304.34</x:v>
      </x:c>
      <x:c r="F48" t="n">
        <x:v>9</x:v>
      </x:c>
      <x:c r="G48" t="n">
        <x:v>6</x:v>
      </x:c>
      <x:c r="H48" s="20" t="n">
        <x:f>IFERROR(F48/B48,0)</x:f>
        <x:v>0.8181818181818182</x:v>
      </x:c>
      <x:c r="I48" s="20" t="n">
        <x:f>IFERROR(G48/B48,0)</x:f>
        <x:v>0.5454545454545454</x:v>
      </x:c>
      <x:c r="J48" s="20" t="n">
        <x:f>IFERROR(D48/C48,0)</x:f>
        <x:v>0.7444831591173054</x:v>
      </x:c>
      <x:c r="K48" t="str">
        <x:f>IF(B48&lt;Assumptions!$B$8,"Insufficient",IF(I48&lt;Assumptions!$B$9,"High",IF(I48&lt;Assumptions!$B$10,"Medium","Low")))</x:f>
        <x:v>High</x:v>
      </x:c>
      <x:c r="L48" t="n">
        <x:v>1</x:v>
      </x:c>
    </x:row>
    <x:row r="49" ht="18" customHeight="1">
      <x:c r="A49" t="str">
        <x:v>Wikizz</x:v>
      </x:c>
      <x:c r="B49" t="n">
        <x:v>8</x:v>
      </x:c>
      <x:c r="C49" t="n">
        <x:v>546</x:v>
      </x:c>
      <x:c r="D49" t="n">
        <x:v>448</x:v>
      </x:c>
      <x:c r="E49" s="22" t="n">
        <x:v>5276.69</x:v>
      </x:c>
      <x:c r="F49" t="n">
        <x:v>5</x:v>
      </x:c>
      <x:c r="G49" t="n">
        <x:v>3</x:v>
      </x:c>
      <x:c r="H49" s="20" t="n">
        <x:f>IFERROR(F49/B49,0)</x:f>
        <x:v>0.625</x:v>
      </x:c>
      <x:c r="I49" s="20" t="n">
        <x:f>IFERROR(G49/B49,0)</x:f>
        <x:v>0.375</x:v>
      </x:c>
      <x:c r="J49" s="20" t="n">
        <x:f>IFERROR(D49/C49,0)</x:f>
        <x:v>0.8205128205128205</x:v>
      </x:c>
      <x:c r="K49" t="str">
        <x:f>IF(B49&lt;Assumptions!$B$8,"Insufficient",IF(I49&lt;Assumptions!$B$9,"High",IF(I49&lt;Assumptions!$B$10,"Medium","Low")))</x:f>
        <x:v>High</x:v>
      </x:c>
      <x:c r="L49" t="n">
        <x:v>0</x:v>
      </x:c>
    </x:row>
    <x:row r="50" ht="18" customHeight="1">
      <x:c r="A50" t="str">
        <x:v>Tanoodle</x:v>
      </x:c>
      <x:c r="B50" t="n">
        <x:v>17</x:v>
      </x:c>
      <x:c r="C50" t="n">
        <x:v>1903</x:v>
      </x:c>
      <x:c r="D50" t="n">
        <x:v>1714</x:v>
      </x:c>
      <x:c r="E50" s="22" t="n">
        <x:v>5091.72</x:v>
      </x:c>
      <x:c r="F50" t="n">
        <x:v>12</x:v>
      </x:c>
      <x:c r="G50" t="n">
        <x:v>9</x:v>
      </x:c>
      <x:c r="H50" s="20" t="n">
        <x:f>IFERROR(F50/B50,0)</x:f>
        <x:v>0.7058823529411765</x:v>
      </x:c>
      <x:c r="I50" s="20" t="n">
        <x:f>IFERROR(G50/B50,0)</x:f>
        <x:v>0.5294117647058824</x:v>
      </x:c>
      <x:c r="J50" s="20" t="n">
        <x:f>IFERROR(D50/C50,0)</x:f>
        <x:v>0.9006831318970048</x:v>
      </x:c>
      <x:c r="K50" t="str">
        <x:f>IF(B50&lt;Assumptions!$B$8,"Insufficient",IF(I50&lt;Assumptions!$B$9,"High",IF(I50&lt;Assumptions!$B$10,"Medium","Low")))</x:f>
        <x:v>High</x:v>
      </x:c>
      <x:c r="L50" t="n">
        <x:v>0</x:v>
      </x:c>
    </x:row>
    <x:row r="51" ht="18" customHeight="1">
      <x:c r="A51" t="str">
        <x:v>Dabtype</x:v>
      </x:c>
      <x:c r="B51" t="n">
        <x:v>13</x:v>
      </x:c>
      <x:c r="C51" t="n">
        <x:v>1032</x:v>
      </x:c>
      <x:c r="D51" t="n">
        <x:v>908</x:v>
      </x:c>
      <x:c r="E51" s="22" t="n">
        <x:v>4929.95</x:v>
      </x:c>
      <x:c r="F51" t="n">
        <x:v>10</x:v>
      </x:c>
      <x:c r="G51" t="n">
        <x:v>9</x:v>
      </x:c>
      <x:c r="H51" s="20" t="n">
        <x:f>IFERROR(F51/B51,0)</x:f>
        <x:v>0.7692307692307693</x:v>
      </x:c>
      <x:c r="I51" s="20" t="n">
        <x:f>IFERROR(G51/B51,0)</x:f>
        <x:v>0.6923076923076923</x:v>
      </x:c>
      <x:c r="J51" s="20" t="n">
        <x:f>IFERROR(D51/C51,0)</x:f>
        <x:v>0.8798449612403101</x:v>
      </x:c>
      <x:c r="K51" t="str">
        <x:f>IF(B51&lt;Assumptions!$B$8,"Insufficient",IF(I51&lt;Assumptions!$B$9,"High",IF(I51&lt;Assumptions!$B$10,"Medium","Low")))</x:f>
        <x:v>Medium</x:v>
      </x:c>
      <x:c r="L51" t="n">
        <x:v>1</x:v>
      </x:c>
    </x:row>
    <x:row r="52" ht="18" customHeight="1">
      <x:c r="A52" t="str">
        <x:v>Avavee</x:v>
      </x:c>
      <x:c r="B52" t="n">
        <x:v>8</x:v>
      </x:c>
      <x:c r="C52" t="n">
        <x:v>728</x:v>
      </x:c>
      <x:c r="D52" t="n">
        <x:v>709</x:v>
      </x:c>
      <x:c r="E52" s="22" t="n">
        <x:v>4915.84</x:v>
      </x:c>
      <x:c r="F52" t="n">
        <x:v>7</x:v>
      </x:c>
      <x:c r="G52" t="n">
        <x:v>6</x:v>
      </x:c>
      <x:c r="H52" s="20" t="n">
        <x:f>IFERROR(F52/B52,0)</x:f>
        <x:v>0.875</x:v>
      </x:c>
      <x:c r="I52" s="20" t="n">
        <x:f>IFERROR(G52/B52,0)</x:f>
        <x:v>0.75</x:v>
      </x:c>
      <x:c r="J52" s="20" t="n">
        <x:f>IFERROR(D52/C52,0)</x:f>
        <x:v>0.9739010989010989</x:v>
      </x:c>
      <x:c r="K52" t="str">
        <x:f>IF(B52&lt;Assumptions!$B$8,"Insufficient",IF(I52&lt;Assumptions!$B$9,"High",IF(I52&lt;Assumptions!$B$10,"Medium","Low")))</x:f>
        <x:v>Medium</x:v>
      </x:c>
      <x:c r="L52" t="n">
        <x:v>0</x:v>
      </x:c>
    </x:row>
    <x:row r="53" ht="18" customHeight="1">
      <x:c r="A53" t="str">
        <x:v>Mynte</x:v>
      </x:c>
      <x:c r="B53" t="n">
        <x:v>8</x:v>
      </x:c>
      <x:c r="C53" t="n">
        <x:v>871</x:v>
      </x:c>
      <x:c r="D53" t="n">
        <x:v>778</x:v>
      </x:c>
      <x:c r="E53" s="22" t="n">
        <x:v>4855.3</x:v>
      </x:c>
      <x:c r="F53" t="n">
        <x:v>4</x:v>
      </x:c>
      <x:c r="G53" t="n">
        <x:v>4</x:v>
      </x:c>
      <x:c r="H53" s="20" t="n">
        <x:f>IFERROR(F53/B53,0)</x:f>
        <x:v>0.5</x:v>
      </x:c>
      <x:c r="I53" s="20" t="n">
        <x:f>IFERROR(G53/B53,0)</x:f>
        <x:v>0.5</x:v>
      </x:c>
      <x:c r="J53" s="20" t="n">
        <x:f>IFERROR(D53/C53,0)</x:f>
        <x:v>0.8932261768082663</x:v>
      </x:c>
      <x:c r="K53" t="str">
        <x:f>IF(B53&lt;Assumptions!$B$8,"Insufficient",IF(I53&lt;Assumptions!$B$9,"High",IF(I53&lt;Assumptions!$B$10,"Medium","Low")))</x:f>
        <x:v>High</x:v>
      </x:c>
      <x:c r="L53" t="n">
        <x:v>1</x:v>
      </x:c>
    </x:row>
    <x:row r="54" ht="18" customHeight="1">
      <x:c r="A54" t="str">
        <x:v>Skyndu</x:v>
      </x:c>
      <x:c r="B54" t="n">
        <x:v>13</x:v>
      </x:c>
      <x:c r="C54" t="n">
        <x:v>833</x:v>
      </x:c>
      <x:c r="D54" t="n">
        <x:v>810</x:v>
      </x:c>
      <x:c r="E54" s="22" t="n">
        <x:v>4827.66</x:v>
      </x:c>
      <x:c r="F54" t="n">
        <x:v>7</x:v>
      </x:c>
      <x:c r="G54" t="n">
        <x:v>7</x:v>
      </x:c>
      <x:c r="H54" s="20" t="n">
        <x:f>IFERROR(F54/B54,0)</x:f>
        <x:v>0.5384615384615384</x:v>
      </x:c>
      <x:c r="I54" s="20" t="n">
        <x:f>IFERROR(G54/B54,0)</x:f>
        <x:v>0.5384615384615384</x:v>
      </x:c>
      <x:c r="J54" s="20" t="n">
        <x:f>IFERROR(D54/C54,0)</x:f>
        <x:v>0.9723889555822329</x:v>
      </x:c>
      <x:c r="K54" t="str">
        <x:f>IF(B54&lt;Assumptions!$B$8,"Insufficient",IF(I54&lt;Assumptions!$B$9,"High",IF(I54&lt;Assumptions!$B$10,"Medium","Low")))</x:f>
        <x:v>High</x:v>
      </x:c>
      <x:c r="L54" t="n">
        <x:v>1</x:v>
      </x:c>
    </x:row>
    <x:row r="55" ht="18" customHeight="1">
      <x:c r="A55" t="str">
        <x:v>Buzzbean</x:v>
      </x:c>
      <x:c r="B55" t="n">
        <x:v>7</x:v>
      </x:c>
      <x:c r="C55" t="n">
        <x:v>853</x:v>
      </x:c>
      <x:c r="D55" t="n">
        <x:v>853</x:v>
      </x:c>
      <x:c r="E55" s="22" t="n">
        <x:v>4705.89</x:v>
      </x:c>
      <x:c r="F55" t="n">
        <x:v>6</x:v>
      </x:c>
      <x:c r="G55" t="n">
        <x:v>6</x:v>
      </x:c>
      <x:c r="H55" s="20" t="n">
        <x:f>IFERROR(F55/B55,0)</x:f>
        <x:v>0.8571428571428571</x:v>
      </x:c>
      <x:c r="I55" s="20" t="n">
        <x:f>IFERROR(G55/B55,0)</x:f>
        <x:v>0.8571428571428571</x:v>
      </x:c>
      <x:c r="J55" s="20" t="n">
        <x:f>IFERROR(D55/C55,0)</x:f>
        <x:v>1</x:v>
      </x:c>
      <x:c r="K55" t="str">
        <x:f>IF(B55&lt;Assumptions!$B$8,"Insufficient",IF(I55&lt;Assumptions!$B$9,"High",IF(I55&lt;Assumptions!$B$10,"Medium","Low")))</x:f>
        <x:v>Low</x:v>
      </x:c>
      <x:c r="L55" t="n">
        <x:v>0</x:v>
      </x:c>
    </x:row>
    <x:row r="56" ht="18" customHeight="1">
      <x:c r="A56" t="str">
        <x:v>Skaboo</x:v>
      </x:c>
      <x:c r="B56" t="n">
        <x:v>9</x:v>
      </x:c>
      <x:c r="C56" t="n">
        <x:v>855</x:v>
      </x:c>
      <x:c r="D56" t="n">
        <x:v>844</x:v>
      </x:c>
      <x:c r="E56" s="22" t="n">
        <x:v>4678.05</x:v>
      </x:c>
      <x:c r="F56" t="n">
        <x:v>6</x:v>
      </x:c>
      <x:c r="G56" t="n">
        <x:v>5</x:v>
      </x:c>
      <x:c r="H56" s="20" t="n">
        <x:f>IFERROR(F56/B56,0)</x:f>
        <x:v>0.6666666666666666</x:v>
      </x:c>
      <x:c r="I56" s="20" t="n">
        <x:f>IFERROR(G56/B56,0)</x:f>
        <x:v>0.5555555555555556</x:v>
      </x:c>
      <x:c r="J56" s="20" t="n">
        <x:f>IFERROR(D56/C56,0)</x:f>
        <x:v>0.9871345029239766</x:v>
      </x:c>
      <x:c r="K56" t="str">
        <x:f>IF(B56&lt;Assumptions!$B$8,"Insufficient",IF(I56&lt;Assumptions!$B$9,"High",IF(I56&lt;Assumptions!$B$10,"Medium","Low")))</x:f>
        <x:v>High</x:v>
      </x:c>
      <x:c r="L56" t="n">
        <x:v>0</x:v>
      </x:c>
    </x:row>
    <x:row r="57" ht="18" customHeight="1">
      <x:c r="A57" t="str">
        <x:v>BlogXS</x:v>
      </x:c>
      <x:c r="B57" t="n">
        <x:v>14</x:v>
      </x:c>
      <x:c r="C57" t="n">
        <x:v>1410</x:v>
      </x:c>
      <x:c r="D57" t="n">
        <x:v>1355</x:v>
      </x:c>
      <x:c r="E57" s="22" t="n">
        <x:v>4569.73</x:v>
      </x:c>
      <x:c r="F57" t="n">
        <x:v>9</x:v>
      </x:c>
      <x:c r="G57" t="n">
        <x:v>8</x:v>
      </x:c>
      <x:c r="H57" s="20" t="n">
        <x:f>IFERROR(F57/B57,0)</x:f>
        <x:v>0.6428571428571429</x:v>
      </x:c>
      <x:c r="I57" s="20" t="n">
        <x:f>IFERROR(G57/B57,0)</x:f>
        <x:v>0.5714285714285714</x:v>
      </x:c>
      <x:c r="J57" s="20" t="n">
        <x:f>IFERROR(D57/C57,0)</x:f>
        <x:v>0.9609929078014184</x:v>
      </x:c>
      <x:c r="K57" t="str">
        <x:f>IF(B57&lt;Assumptions!$B$8,"Insufficient",IF(I57&lt;Assumptions!$B$9,"High",IF(I57&lt;Assumptions!$B$10,"Medium","Low")))</x:f>
        <x:v>High</x:v>
      </x:c>
      <x:c r="L57" t="n">
        <x:v>0</x:v>
      </x:c>
    </x:row>
    <x:row r="58" ht="18" customHeight="1">
      <x:c r="A58" t="str">
        <x:v>Jazzy</x:v>
      </x:c>
      <x:c r="B58" t="n">
        <x:v>9</x:v>
      </x:c>
      <x:c r="C58" t="n">
        <x:v>635</x:v>
      </x:c>
      <x:c r="D58" t="n">
        <x:v>561</x:v>
      </x:c>
      <x:c r="E58" s="22" t="n">
        <x:v>4526.48</x:v>
      </x:c>
      <x:c r="F58" t="n">
        <x:v>5</x:v>
      </x:c>
      <x:c r="G58" t="n">
        <x:v>5</x:v>
      </x:c>
      <x:c r="H58" s="20" t="n">
        <x:f>IFERROR(F58/B58,0)</x:f>
        <x:v>0.5555555555555556</x:v>
      </x:c>
      <x:c r="I58" s="20" t="n">
        <x:f>IFERROR(G58/B58,0)</x:f>
        <x:v>0.5555555555555556</x:v>
      </x:c>
      <x:c r="J58" s="20" t="n">
        <x:f>IFERROR(D58/C58,0)</x:f>
        <x:v>0.8834645669291339</x:v>
      </x:c>
      <x:c r="K58" t="str">
        <x:f>IF(B58&lt;Assumptions!$B$8,"Insufficient",IF(I58&lt;Assumptions!$B$9,"High",IF(I58&lt;Assumptions!$B$10,"Medium","Low")))</x:f>
        <x:v>High</x:v>
      </x:c>
      <x:c r="L58" t="n">
        <x:v>2</x:v>
      </x:c>
    </x:row>
    <x:row r="59" ht="18" customHeight="1">
      <x:c r="A59" t="str">
        <x:v>Browsezoom</x:v>
      </x:c>
      <x:c r="B59" t="n">
        <x:v>8</x:v>
      </x:c>
      <x:c r="C59" t="n">
        <x:v>863</x:v>
      </x:c>
      <x:c r="D59" t="n">
        <x:v>802</x:v>
      </x:c>
      <x:c r="E59" s="22" t="n">
        <x:v>4517.17</x:v>
      </x:c>
      <x:c r="F59" t="n">
        <x:v>5</x:v>
      </x:c>
      <x:c r="G59" t="n">
        <x:v>4</x:v>
      </x:c>
      <x:c r="H59" s="20" t="n">
        <x:f>IFERROR(F59/B59,0)</x:f>
        <x:v>0.625</x:v>
      </x:c>
      <x:c r="I59" s="20" t="n">
        <x:f>IFERROR(G59/B59,0)</x:f>
        <x:v>0.5</x:v>
      </x:c>
      <x:c r="J59" s="20" t="n">
        <x:f>IFERROR(D59/C59,0)</x:f>
        <x:v>0.929316338354577</x:v>
      </x:c>
      <x:c r="K59" t="str">
        <x:f>IF(B59&lt;Assumptions!$B$8,"Insufficient",IF(I59&lt;Assumptions!$B$9,"High",IF(I59&lt;Assumptions!$B$10,"Medium","Low")))</x:f>
        <x:v>High</x:v>
      </x:c>
      <x:c r="L59" t="n">
        <x:v>0</x:v>
      </x:c>
    </x:row>
    <x:row r="60" ht="18" customHeight="1">
      <x:c r="A60" t="str">
        <x:v>Camido</x:v>
      </x:c>
      <x:c r="B60" t="n">
        <x:v>12</x:v>
      </x:c>
      <x:c r="C60" t="n">
        <x:v>588</x:v>
      </x:c>
      <x:c r="D60" t="n">
        <x:v>553</x:v>
      </x:c>
      <x:c r="E60" s="22" t="n">
        <x:v>4421.44</x:v>
      </x:c>
      <x:c r="F60" t="n">
        <x:v>9</x:v>
      </x:c>
      <x:c r="G60" t="n">
        <x:v>7</x:v>
      </x:c>
      <x:c r="H60" s="20" t="n">
        <x:f>IFERROR(F60/B60,0)</x:f>
        <x:v>0.75</x:v>
      </x:c>
      <x:c r="I60" s="20" t="n">
        <x:f>IFERROR(G60/B60,0)</x:f>
        <x:v>0.5833333333333334</x:v>
      </x:c>
      <x:c r="J60" s="20" t="n">
        <x:f>IFERROR(D60/C60,0)</x:f>
        <x:v>0.9404761904761905</x:v>
      </x:c>
      <x:c r="K60" t="str">
        <x:f>IF(B60&lt;Assumptions!$B$8,"Insufficient",IF(I60&lt;Assumptions!$B$9,"High",IF(I60&lt;Assumptions!$B$10,"Medium","Low")))</x:f>
        <x:v>High</x:v>
      </x:c>
      <x:c r="L60" t="n">
        <x:v>0</x:v>
      </x:c>
    </x:row>
    <x:row r="61" ht="18" customHeight="1">
      <x:c r="A61" t="str">
        <x:v>Rhyzio</x:v>
      </x:c>
      <x:c r="B61" t="n">
        <x:v>10</x:v>
      </x:c>
      <x:c r="C61" t="n">
        <x:v>946</x:v>
      </x:c>
      <x:c r="D61" t="n">
        <x:v>710</x:v>
      </x:c>
      <x:c r="E61" s="22" t="n">
        <x:v>4392.58</x:v>
      </x:c>
      <x:c r="F61" t="n">
        <x:v>6</x:v>
      </x:c>
      <x:c r="G61" t="n">
        <x:v>5</x:v>
      </x:c>
      <x:c r="H61" s="20" t="n">
        <x:f>IFERROR(F61/B61,0)</x:f>
        <x:v>0.6</x:v>
      </x:c>
      <x:c r="I61" s="20" t="n">
        <x:f>IFERROR(G61/B61,0)</x:f>
        <x:v>0.5</x:v>
      </x:c>
      <x:c r="J61" s="20" t="n">
        <x:f>IFERROR(D61/C61,0)</x:f>
        <x:v>0.7505285412262156</x:v>
      </x:c>
      <x:c r="K61" t="str">
        <x:f>IF(B61&lt;Assumptions!$B$8,"Insufficient",IF(I61&lt;Assumptions!$B$9,"High",IF(I61&lt;Assumptions!$B$10,"Medium","Low")))</x:f>
        <x:v>High</x:v>
      </x:c>
      <x:c r="L61" t="n">
        <x:v>2</x:v>
      </x:c>
    </x:row>
    <x:row r="62" ht="18" customHeight="1">
      <x:c r="A62" t="str">
        <x:v>Topdrive</x:v>
      </x:c>
      <x:c r="B62" t="n">
        <x:v>11</x:v>
      </x:c>
      <x:c r="C62" t="n">
        <x:v>1049</x:v>
      </x:c>
      <x:c r="D62" t="n">
        <x:v>931</x:v>
      </x:c>
      <x:c r="E62" s="22" t="n">
        <x:v>4324.47</x:v>
      </x:c>
      <x:c r="F62" t="n">
        <x:v>7</x:v>
      </x:c>
      <x:c r="G62" t="n">
        <x:v>7</x:v>
      </x:c>
      <x:c r="H62" s="20" t="n">
        <x:f>IFERROR(F62/B62,0)</x:f>
        <x:v>0.6363636363636364</x:v>
      </x:c>
      <x:c r="I62" s="20" t="n">
        <x:f>IFERROR(G62/B62,0)</x:f>
        <x:v>0.6363636363636364</x:v>
      </x:c>
      <x:c r="J62" s="20" t="n">
        <x:f>IFERROR(D62/C62,0)</x:f>
        <x:v>0.8875119161105816</x:v>
      </x:c>
      <x:c r="K62" t="str">
        <x:f>IF(B62&lt;Assumptions!$B$8,"Insufficient",IF(I62&lt;Assumptions!$B$9,"High",IF(I62&lt;Assumptions!$B$10,"Medium","Low")))</x:f>
        <x:v>High</x:v>
      </x:c>
      <x:c r="L62" t="n">
        <x:v>1</x:v>
      </x:c>
    </x:row>
    <x:row r="63" ht="18" customHeight="1">
      <x:c r="A63" t="str">
        <x:v>Meedoo</x:v>
      </x:c>
      <x:c r="B63" t="n">
        <x:v>6</x:v>
      </x:c>
      <x:c r="C63" t="n">
        <x:v>562</x:v>
      </x:c>
      <x:c r="D63" t="n">
        <x:v>562</x:v>
      </x:c>
      <x:c r="E63" s="22" t="n">
        <x:v>4235.86</x:v>
      </x:c>
      <x:c r="F63" t="n">
        <x:v>4</x:v>
      </x:c>
      <x:c r="G63" t="n">
        <x:v>4</x:v>
      </x:c>
      <x:c r="H63" s="20" t="n">
        <x:f>IFERROR(F63/B63,0)</x:f>
        <x:v>0.6666666666666666</x:v>
      </x:c>
      <x:c r="I63" s="20" t="n">
        <x:f>IFERROR(G63/B63,0)</x:f>
        <x:v>0.6666666666666666</x:v>
      </x:c>
      <x:c r="J63" s="20" t="n">
        <x:f>IFERROR(D63/C63,0)</x:f>
        <x:v>1</x:v>
      </x:c>
      <x:c r="K63" t="str">
        <x:f>IF(B63&lt;Assumptions!$B$8,"Insufficient",IF(I63&lt;Assumptions!$B$9,"High",IF(I63&lt;Assumptions!$B$10,"Medium","Low")))</x:f>
        <x:v>Medium</x:v>
      </x:c>
      <x:c r="L63" t="n">
        <x:v>0</x:v>
      </x:c>
    </x:row>
    <x:row r="64" ht="18" customHeight="1">
      <x:c r="A64" t="str">
        <x:v>Youtags</x:v>
      </x:c>
      <x:c r="B64" t="n">
        <x:v>8</x:v>
      </x:c>
      <x:c r="C64" t="n">
        <x:v>704</x:v>
      </x:c>
      <x:c r="D64" t="n">
        <x:v>704</x:v>
      </x:c>
      <x:c r="E64" s="22" t="n">
        <x:v>4215.5</x:v>
      </x:c>
      <x:c r="F64" t="n">
        <x:v>7</x:v>
      </x:c>
      <x:c r="G64" t="n">
        <x:v>7</x:v>
      </x:c>
      <x:c r="H64" s="20" t="n">
        <x:f>IFERROR(F64/B64,0)</x:f>
        <x:v>0.875</x:v>
      </x:c>
      <x:c r="I64" s="20" t="n">
        <x:f>IFERROR(G64/B64,0)</x:f>
        <x:v>0.875</x:v>
      </x:c>
      <x:c r="J64" s="20" t="n">
        <x:f>IFERROR(D64/C64,0)</x:f>
        <x:v>1</x:v>
      </x:c>
      <x:c r="K64" t="str">
        <x:f>IF(B64&lt;Assumptions!$B$8,"Insufficient",IF(I64&lt;Assumptions!$B$9,"High",IF(I64&lt;Assumptions!$B$10,"Medium","Low")))</x:f>
        <x:v>Low</x:v>
      </x:c>
      <x:c r="L64" t="n">
        <x:v>0</x:v>
      </x:c>
    </x:row>
    <x:row r="65" ht="18" customHeight="1">
      <x:c r="A65" t="str">
        <x:v>Meevee</x:v>
      </x:c>
      <x:c r="B65" t="n">
        <x:v>30</x:v>
      </x:c>
      <x:c r="C65" t="n">
        <x:v>2035</x:v>
      </x:c>
      <x:c r="D65" t="n">
        <x:v>1617</x:v>
      </x:c>
      <x:c r="E65" s="22" t="n">
        <x:v>4156.36</x:v>
      </x:c>
      <x:c r="F65" t="n">
        <x:v>20</x:v>
      </x:c>
      <x:c r="G65" t="n">
        <x:v>17</x:v>
      </x:c>
      <x:c r="H65" s="20" t="n">
        <x:f>IFERROR(F65/B65,0)</x:f>
        <x:v>0.6666666666666666</x:v>
      </x:c>
      <x:c r="I65" s="20" t="n">
        <x:f>IFERROR(G65/B65,0)</x:f>
        <x:v>0.5666666666666667</x:v>
      </x:c>
      <x:c r="J65" s="20" t="n">
        <x:f>IFERROR(D65/C65,0)</x:f>
        <x:v>0.7945945945945946</x:v>
      </x:c>
      <x:c r="K65" t="str">
        <x:f>IF(B65&lt;Assumptions!$B$8,"Insufficient",IF(I65&lt;Assumptions!$B$9,"High",IF(I65&lt;Assumptions!$B$10,"Medium","Low")))</x:f>
        <x:v>High</x:v>
      </x:c>
      <x:c r="L65" t="n">
        <x:v>3</x:v>
      </x:c>
    </x:row>
    <x:row r="66" ht="18" customHeight="1">
      <x:c r="A66" t="str">
        <x:v>Topicblab</x:v>
      </x:c>
      <x:c r="B66" t="n">
        <x:v>12</x:v>
      </x:c>
      <x:c r="C66" t="n">
        <x:v>839</x:v>
      </x:c>
      <x:c r="D66" t="n">
        <x:v>826</x:v>
      </x:c>
      <x:c r="E66" s="22" t="n">
        <x:v>4087.77</x:v>
      </x:c>
      <x:c r="F66" t="n">
        <x:v>9</x:v>
      </x:c>
      <x:c r="G66" t="n">
        <x:v>7</x:v>
      </x:c>
      <x:c r="H66" s="20" t="n">
        <x:f>IFERROR(F66/B66,0)</x:f>
        <x:v>0.75</x:v>
      </x:c>
      <x:c r="I66" s="20" t="n">
        <x:f>IFERROR(G66/B66,0)</x:f>
        <x:v>0.5833333333333334</x:v>
      </x:c>
      <x:c r="J66" s="20" t="n">
        <x:f>IFERROR(D66/C66,0)</x:f>
        <x:v>0.9845053635280095</x:v>
      </x:c>
      <x:c r="K66" t="str">
        <x:f>IF(B66&lt;Assumptions!$B$8,"Insufficient",IF(I66&lt;Assumptions!$B$9,"High",IF(I66&lt;Assumptions!$B$10,"Medium","Low")))</x:f>
        <x:v>High</x:v>
      </x:c>
      <x:c r="L66" t="n">
        <x:v>0</x:v>
      </x:c>
    </x:row>
    <x:row r="67" ht="18" customHeight="1">
      <x:c r="A67" t="str">
        <x:v>Demivee</x:v>
      </x:c>
      <x:c r="B67" t="n">
        <x:v>17</x:v>
      </x:c>
      <x:c r="C67" t="n">
        <x:v>1022</x:v>
      </x:c>
      <x:c r="D67" t="n">
        <x:v>983</x:v>
      </x:c>
      <x:c r="E67" s="22" t="n">
        <x:v>4025.98</x:v>
      </x:c>
      <x:c r="F67" t="n">
        <x:v>15</x:v>
      </x:c>
      <x:c r="G67" t="n">
        <x:v>14</x:v>
      </x:c>
      <x:c r="H67" s="20" t="n">
        <x:f>IFERROR(F67/B67,0)</x:f>
        <x:v>0.8823529411764706</x:v>
      </x:c>
      <x:c r="I67" s="20" t="n">
        <x:f>IFERROR(G67/B67,0)</x:f>
        <x:v>0.8235294117647058</x:v>
      </x:c>
      <x:c r="J67" s="20" t="n">
        <x:f>IFERROR(D67/C67,0)</x:f>
        <x:v>0.961839530332681</x:v>
      </x:c>
      <x:c r="K67" t="str">
        <x:f>IF(B67&lt;Assumptions!$B$8,"Insufficient",IF(I67&lt;Assumptions!$B$9,"High",IF(I67&lt;Assumptions!$B$10,"Medium","Low")))</x:f>
        <x:v>Medium</x:v>
      </x:c>
      <x:c r="L67" t="n">
        <x:v>1</x:v>
      </x:c>
    </x:row>
    <x:row r="68" ht="18" customHeight="1">
      <x:c r="A68" t="str">
        <x:v>Feedfish</x:v>
      </x:c>
      <x:c r="B68" t="n">
        <x:v>10</x:v>
      </x:c>
      <x:c r="C68" t="n">
        <x:v>758</x:v>
      </x:c>
      <x:c r="D68" t="n">
        <x:v>758</x:v>
      </x:c>
      <x:c r="E68" s="22" t="n">
        <x:v>4019.8</x:v>
      </x:c>
      <x:c r="F68" t="n">
        <x:v>5</x:v>
      </x:c>
      <x:c r="G68" t="n">
        <x:v>5</x:v>
      </x:c>
      <x:c r="H68" s="20" t="n">
        <x:f>IFERROR(F68/B68,0)</x:f>
        <x:v>0.5</x:v>
      </x:c>
      <x:c r="I68" s="20" t="n">
        <x:f>IFERROR(G68/B68,0)</x:f>
        <x:v>0.5</x:v>
      </x:c>
      <x:c r="J68" s="20" t="n">
        <x:f>IFERROR(D68/C68,0)</x:f>
        <x:v>1</x:v>
      </x:c>
      <x:c r="K68" t="str">
        <x:f>IF(B68&lt;Assumptions!$B$8,"Insufficient",IF(I68&lt;Assumptions!$B$9,"High",IF(I68&lt;Assumptions!$B$10,"Medium","Low")))</x:f>
        <x:v>High</x:v>
      </x:c>
      <x:c r="L68" t="n">
        <x:v>0</x:v>
      </x:c>
    </x:row>
    <x:row r="69" ht="18" customHeight="1">
      <x:c r="A69" t="str">
        <x:v>Lazz</x:v>
      </x:c>
      <x:c r="B69" t="n">
        <x:v>14</x:v>
      </x:c>
      <x:c r="C69" t="n">
        <x:v>1152</x:v>
      </x:c>
      <x:c r="D69" t="n">
        <x:v>882</x:v>
      </x:c>
      <x:c r="E69" s="22" t="n">
        <x:v>4017.25</x:v>
      </x:c>
      <x:c r="F69" t="n">
        <x:v>9</x:v>
      </x:c>
      <x:c r="G69" t="n">
        <x:v>8</x:v>
      </x:c>
      <x:c r="H69" s="20" t="n">
        <x:f>IFERROR(F69/B69,0)</x:f>
        <x:v>0.6428571428571429</x:v>
      </x:c>
      <x:c r="I69" s="20" t="n">
        <x:f>IFERROR(G69/B69,0)</x:f>
        <x:v>0.5714285714285714</x:v>
      </x:c>
      <x:c r="J69" s="20" t="n">
        <x:f>IFERROR(D69/C69,0)</x:f>
        <x:v>0.765625</x:v>
      </x:c>
      <x:c r="K69" t="str">
        <x:f>IF(B69&lt;Assumptions!$B$8,"Insufficient",IF(I69&lt;Assumptions!$B$9,"High",IF(I69&lt;Assumptions!$B$10,"Medium","Low")))</x:f>
        <x:v>High</x:v>
      </x:c>
      <x:c r="L69" t="n">
        <x:v>1</x:v>
      </x:c>
    </x:row>
    <x:row r="70" ht="18" customHeight="1">
      <x:c r="A70" t="str">
        <x:v>Avaveo</x:v>
      </x:c>
      <x:c r="B70" t="n">
        <x:v>16</x:v>
      </x:c>
      <x:c r="C70" t="n">
        <x:v>1000</x:v>
      </x:c>
      <x:c r="D70" t="n">
        <x:v>966</x:v>
      </x:c>
      <x:c r="E70" s="22" t="n">
        <x:v>4008.89</x:v>
      </x:c>
      <x:c r="F70" t="n">
        <x:v>11</x:v>
      </x:c>
      <x:c r="G70" t="n">
        <x:v>11</x:v>
      </x:c>
      <x:c r="H70" s="20" t="n">
        <x:f>IFERROR(F70/B70,0)</x:f>
        <x:v>0.6875</x:v>
      </x:c>
      <x:c r="I70" s="20" t="n">
        <x:f>IFERROR(G70/B70,0)</x:f>
        <x:v>0.6875</x:v>
      </x:c>
      <x:c r="J70" s="20" t="n">
        <x:f>IFERROR(D70/C70,0)</x:f>
        <x:v>0.966</x:v>
      </x:c>
      <x:c r="K70" t="str">
        <x:f>IF(B70&lt;Assumptions!$B$8,"Insufficient",IF(I70&lt;Assumptions!$B$9,"High",IF(I70&lt;Assumptions!$B$10,"Medium","Low")))</x:f>
        <x:v>Medium</x:v>
      </x:c>
      <x:c r="L70" t="n">
        <x:v>0</x:v>
      </x:c>
    </x:row>
    <x:row r="71" ht="18" customHeight="1">
      <x:c r="A71" t="str">
        <x:v>Feedmix</x:v>
      </x:c>
      <x:c r="B71" t="n">
        <x:v>17</x:v>
      </x:c>
      <x:c r="C71" t="n">
        <x:v>863</x:v>
      </x:c>
      <x:c r="D71" t="n">
        <x:v>781</x:v>
      </x:c>
      <x:c r="E71" s="22" t="n">
        <x:v>4008.47</x:v>
      </x:c>
      <x:c r="F71" t="n">
        <x:v>12</x:v>
      </x:c>
      <x:c r="G71" t="n">
        <x:v>12</x:v>
      </x:c>
      <x:c r="H71" s="20" t="n">
        <x:f>IFERROR(F71/B71,0)</x:f>
        <x:v>0.7058823529411765</x:v>
      </x:c>
      <x:c r="I71" s="20" t="n">
        <x:f>IFERROR(G71/B71,0)</x:f>
        <x:v>0.7058823529411765</x:v>
      </x:c>
      <x:c r="J71" s="20" t="n">
        <x:f>IFERROR(D71/C71,0)</x:f>
        <x:v>0.9049826187717266</x:v>
      </x:c>
      <x:c r="K71" t="str">
        <x:f>IF(B71&lt;Assumptions!$B$8,"Insufficient",IF(I71&lt;Assumptions!$B$9,"High",IF(I71&lt;Assumptions!$B$10,"Medium","Low")))</x:f>
        <x:v>Medium</x:v>
      </x:c>
      <x:c r="L71" t="n">
        <x:v>3</x:v>
      </x:c>
    </x:row>
    <x:row r="72" ht="18" customHeight="1">
      <x:c r="A72" t="str">
        <x:v>Wikibox</x:v>
      </x:c>
      <x:c r="B72" t="n">
        <x:v>9</x:v>
      </x:c>
      <x:c r="C72" t="n">
        <x:v>597</x:v>
      </x:c>
      <x:c r="D72" t="n">
        <x:v>586</x:v>
      </x:c>
      <x:c r="E72" s="22" t="n">
        <x:v>3935.95</x:v>
      </x:c>
      <x:c r="F72" t="n">
        <x:v>7</x:v>
      </x:c>
      <x:c r="G72" t="n">
        <x:v>6</x:v>
      </x:c>
      <x:c r="H72" s="20" t="n">
        <x:f>IFERROR(F72/B72,0)</x:f>
        <x:v>0.7777777777777778</x:v>
      </x:c>
      <x:c r="I72" s="20" t="n">
        <x:f>IFERROR(G72/B72,0)</x:f>
        <x:v>0.6666666666666666</x:v>
      </x:c>
      <x:c r="J72" s="20" t="n">
        <x:f>IFERROR(D72/C72,0)</x:f>
        <x:v>0.981574539363484</x:v>
      </x:c>
      <x:c r="K72" t="str">
        <x:f>IF(B72&lt;Assumptions!$B$8,"Insufficient",IF(I72&lt;Assumptions!$B$9,"High",IF(I72&lt;Assumptions!$B$10,"Medium","Low")))</x:f>
        <x:v>Medium</x:v>
      </x:c>
      <x:c r="L72" t="n">
        <x:v>0</x:v>
      </x:c>
    </x:row>
    <x:row r="73" ht="18" customHeight="1">
      <x:c r="A73" t="str">
        <x:v>Photofeed</x:v>
      </x:c>
      <x:c r="B73" t="n">
        <x:v>6</x:v>
      </x:c>
      <x:c r="C73" t="n">
        <x:v>582</x:v>
      </x:c>
      <x:c r="D73" t="n">
        <x:v>412</x:v>
      </x:c>
      <x:c r="E73" s="22" t="n">
        <x:v>3908.83</x:v>
      </x:c>
      <x:c r="F73" t="n">
        <x:v>2</x:v>
      </x:c>
      <x:c r="G73" t="n">
        <x:v>2</x:v>
      </x:c>
      <x:c r="H73" s="20" t="n">
        <x:f>IFERROR(F73/B73,0)</x:f>
        <x:v>0.3333333333333333</x:v>
      </x:c>
      <x:c r="I73" s="20" t="n">
        <x:f>IFERROR(G73/B73,0)</x:f>
        <x:v>0.3333333333333333</x:v>
      </x:c>
      <x:c r="J73" s="20" t="n">
        <x:f>IFERROR(D73/C73,0)</x:f>
        <x:v>0.7079037800687286</x:v>
      </x:c>
      <x:c r="K73" t="str">
        <x:f>IF(B73&lt;Assumptions!$B$8,"Insufficient",IF(I73&lt;Assumptions!$B$9,"High",IF(I73&lt;Assumptions!$B$10,"Medium","Low")))</x:f>
        <x:v>High</x:v>
      </x:c>
      <x:c r="L73" t="n">
        <x:v>2</x:v>
      </x:c>
    </x:row>
    <x:row r="74" ht="18" customHeight="1">
      <x:c r="A74" t="str">
        <x:v>Talane</x:v>
      </x:c>
      <x:c r="B74" t="n">
        <x:v>13</x:v>
      </x:c>
      <x:c r="C74" t="n">
        <x:v>964</x:v>
      </x:c>
      <x:c r="D74" t="n">
        <x:v>724</x:v>
      </x:c>
      <x:c r="E74" s="22" t="n">
        <x:v>3879.64</x:v>
      </x:c>
      <x:c r="F74" t="n">
        <x:v>8</x:v>
      </x:c>
      <x:c r="G74" t="n">
        <x:v>7</x:v>
      </x:c>
      <x:c r="H74" s="20" t="n">
        <x:f>IFERROR(F74/B74,0)</x:f>
        <x:v>0.6153846153846154</x:v>
      </x:c>
      <x:c r="I74" s="20" t="n">
        <x:f>IFERROR(G74/B74,0)</x:f>
        <x:v>0.5384615384615384</x:v>
      </x:c>
      <x:c r="J74" s="20" t="n">
        <x:f>IFERROR(D74/C74,0)</x:f>
        <x:v>0.7510373443983402</x:v>
      </x:c>
      <x:c r="K74" t="str">
        <x:f>IF(B74&lt;Assumptions!$B$8,"Insufficient",IF(I74&lt;Assumptions!$B$9,"High",IF(I74&lt;Assumptions!$B$10,"Medium","Low")))</x:f>
        <x:v>High</x:v>
      </x:c>
      <x:c r="L74" t="n">
        <x:v>2</x:v>
      </x:c>
    </x:row>
    <x:row r="75" ht="18" customHeight="1">
      <x:c r="A75" t="str">
        <x:v>Photospace</x:v>
      </x:c>
      <x:c r="B75" t="n">
        <x:v>10</x:v>
      </x:c>
      <x:c r="C75" t="n">
        <x:v>594</x:v>
      </x:c>
      <x:c r="D75" t="n">
        <x:v>594</x:v>
      </x:c>
      <x:c r="E75" s="22" t="n">
        <x:v>3852.4</x:v>
      </x:c>
      <x:c r="F75" t="n">
        <x:v>7</x:v>
      </x:c>
      <x:c r="G75" t="n">
        <x:v>7</x:v>
      </x:c>
      <x:c r="H75" s="20" t="n">
        <x:f>IFERROR(F75/B75,0)</x:f>
        <x:v>0.7</x:v>
      </x:c>
      <x:c r="I75" s="20" t="n">
        <x:f>IFERROR(G75/B75,0)</x:f>
        <x:v>0.7</x:v>
      </x:c>
      <x:c r="J75" s="20" t="n">
        <x:f>IFERROR(D75/C75,0)</x:f>
        <x:v>1</x:v>
      </x:c>
      <x:c r="K75" t="str">
        <x:f>IF(B75&lt;Assumptions!$B$8,"Insufficient",IF(I75&lt;Assumptions!$B$9,"High",IF(I75&lt;Assumptions!$B$10,"Medium","Low")))</x:f>
        <x:v>Medium</x:v>
      </x:c>
      <x:c r="L75" t="n">
        <x:v>0</x:v>
      </x:c>
    </x:row>
    <x:row r="76" ht="18" customHeight="1">
      <x:c r="A76" t="str">
        <x:v>Linklinks</x:v>
      </x:c>
      <x:c r="B76" t="n">
        <x:v>16</x:v>
      </x:c>
      <x:c r="C76" t="n">
        <x:v>875</x:v>
      </x:c>
      <x:c r="D76" t="n">
        <x:v>757</x:v>
      </x:c>
      <x:c r="E76" s="22" t="n">
        <x:v>3785.29</x:v>
      </x:c>
      <x:c r="F76" t="n">
        <x:v>11</x:v>
      </x:c>
      <x:c r="G76" t="n">
        <x:v>11</x:v>
      </x:c>
      <x:c r="H76" s="20" t="n">
        <x:f>IFERROR(F76/B76,0)</x:f>
        <x:v>0.6875</x:v>
      </x:c>
      <x:c r="I76" s="20" t="n">
        <x:f>IFERROR(G76/B76,0)</x:f>
        <x:v>0.6875</x:v>
      </x:c>
      <x:c r="J76" s="20" t="n">
        <x:f>IFERROR(D76/C76,0)</x:f>
        <x:v>0.8651428571428571</x:v>
      </x:c>
      <x:c r="K76" t="str">
        <x:f>IF(B76&lt;Assumptions!$B$8,"Insufficient",IF(I76&lt;Assumptions!$B$9,"High",IF(I76&lt;Assumptions!$B$10,"Medium","Low")))</x:f>
        <x:v>Medium</x:v>
      </x:c>
      <x:c r="L76" t="n">
        <x:v>1</x:v>
      </x:c>
    </x:row>
    <x:row r="77" ht="18" customHeight="1">
      <x:c r="A77" t="str">
        <x:v>Kamba</x:v>
      </x:c>
      <x:c r="B77" t="n">
        <x:v>14</x:v>
      </x:c>
      <x:c r="C77" t="n">
        <x:v>713</x:v>
      </x:c>
      <x:c r="D77" t="n">
        <x:v>557</x:v>
      </x:c>
      <x:c r="E77" s="22" t="n">
        <x:v>3717.27</x:v>
      </x:c>
      <x:c r="F77" t="n">
        <x:v>8</x:v>
      </x:c>
      <x:c r="G77" t="n">
        <x:v>5</x:v>
      </x:c>
      <x:c r="H77" s="20" t="n">
        <x:f>IFERROR(F77/B77,0)</x:f>
        <x:v>0.5714285714285714</x:v>
      </x:c>
      <x:c r="I77" s="20" t="n">
        <x:f>IFERROR(G77/B77,0)</x:f>
        <x:v>0.35714285714285715</x:v>
      </x:c>
      <x:c r="J77" s="20" t="n">
        <x:f>IFERROR(D77/C77,0)</x:f>
        <x:v>0.7812061711079944</x:v>
      </x:c>
      <x:c r="K77" t="str">
        <x:f>IF(B77&lt;Assumptions!$B$8,"Insufficient",IF(I77&lt;Assumptions!$B$9,"High",IF(I77&lt;Assumptions!$B$10,"Medium","Low")))</x:f>
        <x:v>High</x:v>
      </x:c>
      <x:c r="L77" t="n">
        <x:v>1</x:v>
      </x:c>
    </x:row>
    <x:row r="78" ht="18" customHeight="1">
      <x:c r="A78" t="str">
        <x:v>Skilith</x:v>
      </x:c>
      <x:c r="B78" t="n">
        <x:v>8</x:v>
      </x:c>
      <x:c r="C78" t="n">
        <x:v>1069</x:v>
      </x:c>
      <x:c r="D78" t="n">
        <x:v>1009</x:v>
      </x:c>
      <x:c r="E78" s="22" t="n">
        <x:v>3669.32</x:v>
      </x:c>
      <x:c r="F78" t="n">
        <x:v>4</x:v>
      </x:c>
      <x:c r="G78" t="n">
        <x:v>2</x:v>
      </x:c>
      <x:c r="H78" s="20" t="n">
        <x:f>IFERROR(F78/B78,0)</x:f>
        <x:v>0.5</x:v>
      </x:c>
      <x:c r="I78" s="20" t="n">
        <x:f>IFERROR(G78/B78,0)</x:f>
        <x:v>0.25</x:v>
      </x:c>
      <x:c r="J78" s="20" t="n">
        <x:f>IFERROR(D78/C78,0)</x:f>
        <x:v>0.9438727782974743</x:v>
      </x:c>
      <x:c r="K78" t="str">
        <x:f>IF(B78&lt;Assumptions!$B$8,"Insufficient",IF(I78&lt;Assumptions!$B$9,"High",IF(I78&lt;Assumptions!$B$10,"Medium","Low")))</x:f>
        <x:v>High</x:v>
      </x:c>
      <x:c r="L78" t="n">
        <x:v>0</x:v>
      </x:c>
    </x:row>
    <x:row r="79" ht="18" customHeight="1">
      <x:c r="A79" t="str">
        <x:v>Eidel</x:v>
      </x:c>
      <x:c r="B79" t="n">
        <x:v>16</x:v>
      </x:c>
      <x:c r="C79" t="n">
        <x:v>981</x:v>
      </x:c>
      <x:c r="D79" t="n">
        <x:v>856</x:v>
      </x:c>
      <x:c r="E79" s="22" t="n">
        <x:v>3633.99</x:v>
      </x:c>
      <x:c r="F79" t="n">
        <x:v>13</x:v>
      </x:c>
      <x:c r="G79" t="n">
        <x:v>8</x:v>
      </x:c>
      <x:c r="H79" s="20" t="n">
        <x:f>IFERROR(F79/B79,0)</x:f>
        <x:v>0.8125</x:v>
      </x:c>
      <x:c r="I79" s="20" t="n">
        <x:f>IFERROR(G79/B79,0)</x:f>
        <x:v>0.5</x:v>
      </x:c>
      <x:c r="J79" s="20" t="n">
        <x:f>IFERROR(D79/C79,0)</x:f>
        <x:v>0.872579001019368</x:v>
      </x:c>
      <x:c r="K79" t="str">
        <x:f>IF(B79&lt;Assumptions!$B$8,"Insufficient",IF(I79&lt;Assumptions!$B$9,"High",IF(I79&lt;Assumptions!$B$10,"Medium","Low")))</x:f>
        <x:v>High</x:v>
      </x:c>
      <x:c r="L79" t="n">
        <x:v>1</x:v>
      </x:c>
    </x:row>
    <x:row r="80" ht="18" customHeight="1">
      <x:c r="A80" t="str">
        <x:v>Realbridge</x:v>
      </x:c>
      <x:c r="B80" t="n">
        <x:v>2</x:v>
      </x:c>
      <x:c r="C80" t="n">
        <x:v>297</x:v>
      </x:c>
      <x:c r="D80" t="n">
        <x:v>297</x:v>
      </x:c>
      <x:c r="E80" s="22" t="n">
        <x:v>3612.57</x:v>
      </x:c>
      <x:c r="F80" t="n">
        <x:v>2</x:v>
      </x:c>
      <x:c r="G80" t="n">
        <x:v>2</x:v>
      </x:c>
      <x:c r="H80" s="20" t="n">
        <x:f>IFERROR(F80/B80,0)</x:f>
        <x:v>1</x:v>
      </x:c>
      <x:c r="I80" s="20" t="n">
        <x:f>IFERROR(G80/B80,0)</x:f>
        <x:v>1</x:v>
      </x:c>
      <x:c r="J80" s="20" t="n">
        <x:f>IFERROR(D80/C80,0)</x:f>
        <x:v>1</x:v>
      </x:c>
      <x:c r="K80" t="str">
        <x:f>IF(B80&lt;Assumptions!$B$8,"Insufficient",IF(I80&lt;Assumptions!$B$9,"High",IF(I80&lt;Assumptions!$B$10,"Medium","Low")))</x:f>
        <x:v>Insufficient</x:v>
      </x:c>
      <x:c r="L80" t="n">
        <x:v>0</x:v>
      </x:c>
    </x:row>
    <x:row r="81" ht="18" customHeight="1">
      <x:c r="A81" t="str">
        <x:v>Dazzlesphere</x:v>
      </x:c>
      <x:c r="B81" t="n">
        <x:v>14</x:v>
      </x:c>
      <x:c r="C81" t="n">
        <x:v>1044</x:v>
      </x:c>
      <x:c r="D81" t="n">
        <x:v>1006</x:v>
      </x:c>
      <x:c r="E81" s="22" t="n">
        <x:v>3606.59</x:v>
      </x:c>
      <x:c r="F81" t="n">
        <x:v>10</x:v>
      </x:c>
      <x:c r="G81" t="n">
        <x:v>8</x:v>
      </x:c>
      <x:c r="H81" s="20" t="n">
        <x:f>IFERROR(F81/B81,0)</x:f>
        <x:v>0.7142857142857143</x:v>
      </x:c>
      <x:c r="I81" s="20" t="n">
        <x:f>IFERROR(G81/B81,0)</x:f>
        <x:v>0.5714285714285714</x:v>
      </x:c>
      <x:c r="J81" s="20" t="n">
        <x:f>IFERROR(D81/C81,0)</x:f>
        <x:v>0.9636015325670498</x:v>
      </x:c>
      <x:c r="K81" t="str">
        <x:f>IF(B81&lt;Assumptions!$B$8,"Insufficient",IF(I81&lt;Assumptions!$B$9,"High",IF(I81&lt;Assumptions!$B$10,"Medium","Low")))</x:f>
        <x:v>High</x:v>
      </x:c>
      <x:c r="L81" t="n">
        <x:v>0</x:v>
      </x:c>
    </x:row>
    <x:row r="82" ht="18" customHeight="1">
      <x:c r="A82" t="str">
        <x:v>Trilia</x:v>
      </x:c>
      <x:c r="B82" t="n">
        <x:v>12</x:v>
      </x:c>
      <x:c r="C82" t="n">
        <x:v>829</x:v>
      </x:c>
      <x:c r="D82" t="n">
        <x:v>763</x:v>
      </x:c>
      <x:c r="E82" s="22" t="n">
        <x:v>3586.54</x:v>
      </x:c>
      <x:c r="F82" t="n">
        <x:v>8</x:v>
      </x:c>
      <x:c r="G82" t="n">
        <x:v>8</x:v>
      </x:c>
      <x:c r="H82" s="20" t="n">
        <x:f>IFERROR(F82/B82,0)</x:f>
        <x:v>0.6666666666666666</x:v>
      </x:c>
      <x:c r="I82" s="20" t="n">
        <x:f>IFERROR(G82/B82,0)</x:f>
        <x:v>0.6666666666666666</x:v>
      </x:c>
      <x:c r="J82" s="20" t="n">
        <x:f>IFERROR(D82/C82,0)</x:f>
        <x:v>0.9203860072376358</x:v>
      </x:c>
      <x:c r="K82" t="str">
        <x:f>IF(B82&lt;Assumptions!$B$8,"Insufficient",IF(I82&lt;Assumptions!$B$9,"High",IF(I82&lt;Assumptions!$B$10,"Medium","Low")))</x:f>
        <x:v>Medium</x:v>
      </x:c>
      <x:c r="L82" t="n">
        <x:v>1</x:v>
      </x:c>
    </x:row>
    <x:row r="83" ht="18" customHeight="1">
      <x:c r="A83" t="str">
        <x:v>Skipfire</x:v>
      </x:c>
      <x:c r="B83" t="n">
        <x:v>18</x:v>
      </x:c>
      <x:c r="C83" t="n">
        <x:v>1190</x:v>
      </x:c>
      <x:c r="D83" t="n">
        <x:v>1190</x:v>
      </x:c>
      <x:c r="E83" s="22" t="n">
        <x:v>3548.2</x:v>
      </x:c>
      <x:c r="F83" t="n">
        <x:v>12</x:v>
      </x:c>
      <x:c r="G83" t="n">
        <x:v>12</x:v>
      </x:c>
      <x:c r="H83" s="20" t="n">
        <x:f>IFERROR(F83/B83,0)</x:f>
        <x:v>0.6666666666666666</x:v>
      </x:c>
      <x:c r="I83" s="20" t="n">
        <x:f>IFERROR(G83/B83,0)</x:f>
        <x:v>0.6666666666666666</x:v>
      </x:c>
      <x:c r="J83" s="20" t="n">
        <x:f>IFERROR(D83/C83,0)</x:f>
        <x:v>1</x:v>
      </x:c>
      <x:c r="K83" t="str">
        <x:f>IF(B83&lt;Assumptions!$B$8,"Insufficient",IF(I83&lt;Assumptions!$B$9,"High",IF(I83&lt;Assumptions!$B$10,"Medium","Low")))</x:f>
        <x:v>Medium</x:v>
      </x:c>
      <x:c r="L83" t="n">
        <x:v>0</x:v>
      </x:c>
    </x:row>
    <x:row r="84" ht="18" customHeight="1">
      <x:c r="A84" t="str">
        <x:v>Feedspan</x:v>
      </x:c>
      <x:c r="B84" t="n">
        <x:v>7</x:v>
      </x:c>
      <x:c r="C84" t="n">
        <x:v>691</x:v>
      </x:c>
      <x:c r="D84" t="n">
        <x:v>591</x:v>
      </x:c>
      <x:c r="E84" s="22" t="n">
        <x:v>3548</x:v>
      </x:c>
      <x:c r="F84" t="n">
        <x:v>6</x:v>
      </x:c>
      <x:c r="G84" t="n">
        <x:v>4</x:v>
      </x:c>
      <x:c r="H84" s="20" t="n">
        <x:f>IFERROR(F84/B84,0)</x:f>
        <x:v>0.8571428571428571</x:v>
      </x:c>
      <x:c r="I84" s="20" t="n">
        <x:f>IFERROR(G84/B84,0)</x:f>
        <x:v>0.5714285714285714</x:v>
      </x:c>
      <x:c r="J84" s="20" t="n">
        <x:f>IFERROR(D84/C84,0)</x:f>
        <x:v>0.8552821997105644</x:v>
      </x:c>
      <x:c r="K84" t="str">
        <x:f>IF(B84&lt;Assumptions!$B$8,"Insufficient",IF(I84&lt;Assumptions!$B$9,"High",IF(I84&lt;Assumptions!$B$10,"Medium","Low")))</x:f>
        <x:v>High</x:v>
      </x:c>
      <x:c r="L84" t="n">
        <x:v>0</x:v>
      </x:c>
    </x:row>
    <x:row r="85" ht="18" customHeight="1">
      <x:c r="A85" t="str">
        <x:v>Jabbersphere</x:v>
      </x:c>
      <x:c r="B85" t="n">
        <x:v>15</x:v>
      </x:c>
      <x:c r="C85" t="n">
        <x:v>793</x:v>
      </x:c>
      <x:c r="D85" t="n">
        <x:v>772</x:v>
      </x:c>
      <x:c r="E85" s="22" t="n">
        <x:v>3546.61</x:v>
      </x:c>
      <x:c r="F85" t="n">
        <x:v>12</x:v>
      </x:c>
      <x:c r="G85" t="n">
        <x:v>10</x:v>
      </x:c>
      <x:c r="H85" s="20" t="n">
        <x:f>IFERROR(F85/B85,0)</x:f>
        <x:v>0.8</x:v>
      </x:c>
      <x:c r="I85" s="20" t="n">
        <x:f>IFERROR(G85/B85,0)</x:f>
        <x:v>0.6666666666666666</x:v>
      </x:c>
      <x:c r="J85" s="20" t="n">
        <x:f>IFERROR(D85/C85,0)</x:f>
        <x:v>0.9735182849936949</x:v>
      </x:c>
      <x:c r="K85" t="str">
        <x:f>IF(B85&lt;Assumptions!$B$8,"Insufficient",IF(I85&lt;Assumptions!$B$9,"High",IF(I85&lt;Assumptions!$B$10,"Medium","Low")))</x:f>
        <x:v>Medium</x:v>
      </x:c>
      <x:c r="L85" t="n">
        <x:v>0</x:v>
      </x:c>
    </x:row>
    <x:row r="86" ht="18" customHeight="1">
      <x:c r="A86" t="str">
        <x:v>Voomm</x:v>
      </x:c>
      <x:c r="B86" t="n">
        <x:v>12</x:v>
      </x:c>
      <x:c r="C86" t="n">
        <x:v>842</x:v>
      </x:c>
      <x:c r="D86" t="n">
        <x:v>615</x:v>
      </x:c>
      <x:c r="E86" s="22" t="n">
        <x:v>3482.39</x:v>
      </x:c>
      <x:c r="F86" t="n">
        <x:v>9</x:v>
      </x:c>
      <x:c r="G86" t="n">
        <x:v>5</x:v>
      </x:c>
      <x:c r="H86" s="20" t="n">
        <x:f>IFERROR(F86/B86,0)</x:f>
        <x:v>0.75</x:v>
      </x:c>
      <x:c r="I86" s="20" t="n">
        <x:f>IFERROR(G86/B86,0)</x:f>
        <x:v>0.4166666666666667</x:v>
      </x:c>
      <x:c r="J86" s="20" t="n">
        <x:f>IFERROR(D86/C86,0)</x:f>
        <x:v>0.7304038004750594</x:v>
      </x:c>
      <x:c r="K86" t="str">
        <x:f>IF(B86&lt;Assumptions!$B$8,"Insufficient",IF(I86&lt;Assumptions!$B$9,"High",IF(I86&lt;Assumptions!$B$10,"Medium","Low")))</x:f>
        <x:v>High</x:v>
      </x:c>
      <x:c r="L86" t="n">
        <x:v>1</x:v>
      </x:c>
    </x:row>
    <x:row r="87" ht="18" customHeight="1">
      <x:c r="A87" t="str">
        <x:v>Quinu</x:v>
      </x:c>
      <x:c r="B87" t="n">
        <x:v>21</x:v>
      </x:c>
      <x:c r="C87" t="n">
        <x:v>1293</x:v>
      </x:c>
      <x:c r="D87" t="n">
        <x:v>1269</x:v>
      </x:c>
      <x:c r="E87" s="22" t="n">
        <x:v>3480.31</x:v>
      </x:c>
      <x:c r="F87" t="n">
        <x:v>15</x:v>
      </x:c>
      <x:c r="G87" t="n">
        <x:v>14</x:v>
      </x:c>
      <x:c r="H87" s="20" t="n">
        <x:f>IFERROR(F87/B87,0)</x:f>
        <x:v>0.7142857142857143</x:v>
      </x:c>
      <x:c r="I87" s="20" t="n">
        <x:f>IFERROR(G87/B87,0)</x:f>
        <x:v>0.6666666666666666</x:v>
      </x:c>
      <x:c r="J87" s="20" t="n">
        <x:f>IFERROR(D87/C87,0)</x:f>
        <x:v>0.9814385150812065</x:v>
      </x:c>
      <x:c r="K87" t="str">
        <x:f>IF(B87&lt;Assumptions!$B$8,"Insufficient",IF(I87&lt;Assumptions!$B$9,"High",IF(I87&lt;Assumptions!$B$10,"Medium","Low")))</x:f>
        <x:v>Medium</x:v>
      </x:c>
      <x:c r="L87" t="n">
        <x:v>0</x:v>
      </x:c>
    </x:row>
    <x:row r="88" ht="18" customHeight="1">
      <x:c r="A88" t="str">
        <x:v>Livepath</x:v>
      </x:c>
      <x:c r="B88" t="n">
        <x:v>10</x:v>
      </x:c>
      <x:c r="C88" t="n">
        <x:v>732</x:v>
      </x:c>
      <x:c r="D88" t="n">
        <x:v>559</x:v>
      </x:c>
      <x:c r="E88" s="22" t="n">
        <x:v>3467.43</x:v>
      </x:c>
      <x:c r="F88" t="n">
        <x:v>6</x:v>
      </x:c>
      <x:c r="G88" t="n">
        <x:v>6</x:v>
      </x:c>
      <x:c r="H88" s="20" t="n">
        <x:f>IFERROR(F88/B88,0)</x:f>
        <x:v>0.6</x:v>
      </x:c>
      <x:c r="I88" s="20" t="n">
        <x:f>IFERROR(G88/B88,0)</x:f>
        <x:v>0.6</x:v>
      </x:c>
      <x:c r="J88" s="20" t="n">
        <x:f>IFERROR(D88/C88,0)</x:f>
        <x:v>0.7636612021857924</x:v>
      </x:c>
      <x:c r="K88" t="str">
        <x:f>IF(B88&lt;Assumptions!$B$8,"Insufficient",IF(I88&lt;Assumptions!$B$9,"High",IF(I88&lt;Assumptions!$B$10,"Medium","Low")))</x:f>
        <x:v>High</x:v>
      </x:c>
      <x:c r="L88" t="n">
        <x:v>2</x:v>
      </x:c>
    </x:row>
    <x:row r="89" ht="18" customHeight="1">
      <x:c r="A89" t="str">
        <x:v>Topicstorm</x:v>
      </x:c>
      <x:c r="B89" t="n">
        <x:v>16</x:v>
      </x:c>
      <x:c r="C89" t="n">
        <x:v>1308</x:v>
      </x:c>
      <x:c r="D89" t="n">
        <x:v>1271</x:v>
      </x:c>
      <x:c r="E89" s="22" t="n">
        <x:v>3444.63</x:v>
      </x:c>
      <x:c r="F89" t="n">
        <x:v>13</x:v>
      </x:c>
      <x:c r="G89" t="n">
        <x:v>12</x:v>
      </x:c>
      <x:c r="H89" s="20" t="n">
        <x:f>IFERROR(F89/B89,0)</x:f>
        <x:v>0.8125</x:v>
      </x:c>
      <x:c r="I89" s="20" t="n">
        <x:f>IFERROR(G89/B89,0)</x:f>
        <x:v>0.75</x:v>
      </x:c>
      <x:c r="J89" s="20" t="n">
        <x:f>IFERROR(D89/C89,0)</x:f>
        <x:v>0.9717125382262997</x:v>
      </x:c>
      <x:c r="K89" t="str">
        <x:f>IF(B89&lt;Assumptions!$B$8,"Insufficient",IF(I89&lt;Assumptions!$B$9,"High",IF(I89&lt;Assumptions!$B$10,"Medium","Low")))</x:f>
        <x:v>Medium</x:v>
      </x:c>
      <x:c r="L89" t="n">
        <x:v>1</x:v>
      </x:c>
    </x:row>
    <x:row r="90" ht="18" customHeight="1">
      <x:c r="A90" t="str">
        <x:v>Blogtag</x:v>
      </x:c>
      <x:c r="B90" t="n">
        <x:v>6</x:v>
      </x:c>
      <x:c r="C90" t="n">
        <x:v>710</x:v>
      </x:c>
      <x:c r="D90" t="n">
        <x:v>710</x:v>
      </x:c>
      <x:c r="E90" s="22" t="n">
        <x:v>3416.68</x:v>
      </x:c>
      <x:c r="F90" t="n">
        <x:v>6</x:v>
      </x:c>
      <x:c r="G90" t="n">
        <x:v>6</x:v>
      </x:c>
      <x:c r="H90" s="20" t="n">
        <x:f>IFERROR(F90/B90,0)</x:f>
        <x:v>1</x:v>
      </x:c>
      <x:c r="I90" s="20" t="n">
        <x:f>IFERROR(G90/B90,0)</x:f>
        <x:v>1</x:v>
      </x:c>
      <x:c r="J90" s="20" t="n">
        <x:f>IFERROR(D90/C90,0)</x:f>
        <x:v>1</x:v>
      </x:c>
      <x:c r="K90" t="str">
        <x:f>IF(B90&lt;Assumptions!$B$8,"Insufficient",IF(I90&lt;Assumptions!$B$9,"High",IF(I90&lt;Assumptions!$B$10,"Medium","Low")))</x:f>
        <x:v>Low</x:v>
      </x:c>
      <x:c r="L90" t="n">
        <x:v>0</x:v>
      </x:c>
    </x:row>
    <x:row r="91" ht="18" customHeight="1">
      <x:c r="A91" t="str">
        <x:v>Fiveclub</x:v>
      </x:c>
      <x:c r="B91" t="n">
        <x:v>10</x:v>
      </x:c>
      <x:c r="C91" t="n">
        <x:v>729</x:v>
      </x:c>
      <x:c r="D91" t="n">
        <x:v>654</x:v>
      </x:c>
      <x:c r="E91" s="22" t="n">
        <x:v>3409.24</x:v>
      </x:c>
      <x:c r="F91" t="n">
        <x:v>6</x:v>
      </x:c>
      <x:c r="G91" t="n">
        <x:v>5</x:v>
      </x:c>
      <x:c r="H91" s="20" t="n">
        <x:f>IFERROR(F91/B91,0)</x:f>
        <x:v>0.6</x:v>
      </x:c>
      <x:c r="I91" s="20" t="n">
        <x:f>IFERROR(G91/B91,0)</x:f>
        <x:v>0.5</x:v>
      </x:c>
      <x:c r="J91" s="20" t="n">
        <x:f>IFERROR(D91/C91,0)</x:f>
        <x:v>0.897119341563786</x:v>
      </x:c>
      <x:c r="K91" t="str">
        <x:f>IF(B91&lt;Assumptions!$B$8,"Insufficient",IF(I91&lt;Assumptions!$B$9,"High",IF(I91&lt;Assumptions!$B$10,"Medium","Low")))</x:f>
        <x:v>High</x:v>
      </x:c>
      <x:c r="L91" t="n">
        <x:v>1</x:v>
      </x:c>
    </x:row>
    <x:row r="92" ht="18" customHeight="1">
      <x:c r="A92" t="str">
        <x:v>Kayveo</x:v>
      </x:c>
      <x:c r="B92" t="n">
        <x:v>9</x:v>
      </x:c>
      <x:c r="C92" t="n">
        <x:v>585</x:v>
      </x:c>
      <x:c r="D92" t="n">
        <x:v>585</x:v>
      </x:c>
      <x:c r="E92" s="22" t="n">
        <x:v>3398.97</x:v>
      </x:c>
      <x:c r="F92" t="n">
        <x:v>6</x:v>
      </x:c>
      <x:c r="G92" t="n">
        <x:v>6</x:v>
      </x:c>
      <x:c r="H92" s="20" t="n">
        <x:f>IFERROR(F92/B92,0)</x:f>
        <x:v>0.6666666666666666</x:v>
      </x:c>
      <x:c r="I92" s="20" t="n">
        <x:f>IFERROR(G92/B92,0)</x:f>
        <x:v>0.6666666666666666</x:v>
      </x:c>
      <x:c r="J92" s="20" t="n">
        <x:f>IFERROR(D92/C92,0)</x:f>
        <x:v>1</x:v>
      </x:c>
      <x:c r="K92" t="str">
        <x:f>IF(B92&lt;Assumptions!$B$8,"Insufficient",IF(I92&lt;Assumptions!$B$9,"High",IF(I92&lt;Assumptions!$B$10,"Medium","Low")))</x:f>
        <x:v>Medium</x:v>
      </x:c>
      <x:c r="L92" t="n">
        <x:v>0</x:v>
      </x:c>
    </x:row>
    <x:row r="93" ht="18" customHeight="1">
      <x:c r="A93" t="str">
        <x:v>Skiptube</x:v>
      </x:c>
      <x:c r="B93" t="n">
        <x:v>7</x:v>
      </x:c>
      <x:c r="C93" t="n">
        <x:v>423</x:v>
      </x:c>
      <x:c r="D93" t="n">
        <x:v>362</x:v>
      </x:c>
      <x:c r="E93" s="22" t="n">
        <x:v>3343.08</x:v>
      </x:c>
      <x:c r="F93" t="n">
        <x:v>2</x:v>
      </x:c>
      <x:c r="G93" t="n">
        <x:v>1</x:v>
      </x:c>
      <x:c r="H93" s="20" t="n">
        <x:f>IFERROR(F93/B93,0)</x:f>
        <x:v>0.2857142857142857</x:v>
      </x:c>
      <x:c r="I93" s="20" t="n">
        <x:f>IFERROR(G93/B93,0)</x:f>
        <x:v>0.14285714285714285</x:v>
      </x:c>
      <x:c r="J93" s="20" t="n">
        <x:f>IFERROR(D93/C93,0)</x:f>
        <x:v>0.8557919621749409</x:v>
      </x:c>
      <x:c r="K93" t="str">
        <x:f>IF(B93&lt;Assumptions!$B$8,"Insufficient",IF(I93&lt;Assumptions!$B$9,"High",IF(I93&lt;Assumptions!$B$10,"Medium","Low")))</x:f>
        <x:v>High</x:v>
      </x:c>
      <x:c r="L93" t="n">
        <x:v>0</x:v>
      </x:c>
    </x:row>
    <x:row r="94" ht="18" customHeight="1">
      <x:c r="A94" t="str">
        <x:v>Babblestorm</x:v>
      </x:c>
      <x:c r="B94" t="n">
        <x:v>19</x:v>
      </x:c>
      <x:c r="C94" t="n">
        <x:v>1045</x:v>
      </x:c>
      <x:c r="D94" t="n">
        <x:v>1043</x:v>
      </x:c>
      <x:c r="E94" s="22" t="n">
        <x:v>3309.95</x:v>
      </x:c>
      <x:c r="F94" t="n">
        <x:v>12</x:v>
      </x:c>
      <x:c r="G94" t="n">
        <x:v>11</x:v>
      </x:c>
      <x:c r="H94" s="20" t="n">
        <x:f>IFERROR(F94/B94,0)</x:f>
        <x:v>0.631578947368421</x:v>
      </x:c>
      <x:c r="I94" s="20" t="n">
        <x:f>IFERROR(G94/B94,0)</x:f>
        <x:v>0.5789473684210527</x:v>
      </x:c>
      <x:c r="J94" s="20" t="n">
        <x:f>IFERROR(D94/C94,0)</x:f>
        <x:v>0.9980861244019139</x:v>
      </x:c>
      <x:c r="K94" t="str">
        <x:f>IF(B94&lt;Assumptions!$B$8,"Insufficient",IF(I94&lt;Assumptions!$B$9,"High",IF(I94&lt;Assumptions!$B$10,"Medium","Low")))</x:f>
        <x:v>High</x:v>
      </x:c>
      <x:c r="L94" t="n">
        <x:v>0</x:v>
      </x:c>
    </x:row>
    <x:row r="95" ht="18" customHeight="1">
      <x:c r="A95" t="str">
        <x:v>Vipe</x:v>
      </x:c>
      <x:c r="B95" t="n">
        <x:v>7</x:v>
      </x:c>
      <x:c r="C95" t="n">
        <x:v>683</x:v>
      </x:c>
      <x:c r="D95" t="n">
        <x:v>583</x:v>
      </x:c>
      <x:c r="E95" s="22" t="n">
        <x:v>3304.55</x:v>
      </x:c>
      <x:c r="F95" t="n">
        <x:v>4</x:v>
      </x:c>
      <x:c r="G95" t="n">
        <x:v>4</x:v>
      </x:c>
      <x:c r="H95" s="20" t="n">
        <x:f>IFERROR(F95/B95,0)</x:f>
        <x:v>0.5714285714285714</x:v>
      </x:c>
      <x:c r="I95" s="20" t="n">
        <x:f>IFERROR(G95/B95,0)</x:f>
        <x:v>0.5714285714285714</x:v>
      </x:c>
      <x:c r="J95" s="20" t="n">
        <x:f>IFERROR(D95/C95,0)</x:f>
        <x:v>0.8535871156661786</x:v>
      </x:c>
      <x:c r="K95" t="str">
        <x:f>IF(B95&lt;Assumptions!$B$8,"Insufficient",IF(I95&lt;Assumptions!$B$9,"High",IF(I95&lt;Assumptions!$B$10,"Medium","Low")))</x:f>
        <x:v>High</x:v>
      </x:c>
      <x:c r="L95" t="n">
        <x:v>1</x:v>
      </x:c>
    </x:row>
    <x:row r="96" ht="18" customHeight="1">
      <x:c r="A96" t="str">
        <x:v>Linktype</x:v>
      </x:c>
      <x:c r="B96" t="n">
        <x:v>8</x:v>
      </x:c>
      <x:c r="C96" t="n">
        <x:v>545</x:v>
      </x:c>
      <x:c r="D96" t="n">
        <x:v>534</x:v>
      </x:c>
      <x:c r="E96" s="22" t="n">
        <x:v>3289.94</x:v>
      </x:c>
      <x:c r="F96" t="n">
        <x:v>4</x:v>
      </x:c>
      <x:c r="G96" t="n">
        <x:v>3</x:v>
      </x:c>
      <x:c r="H96" s="20" t="n">
        <x:f>IFERROR(F96/B96,0)</x:f>
        <x:v>0.5</x:v>
      </x:c>
      <x:c r="I96" s="20" t="n">
        <x:f>IFERROR(G96/B96,0)</x:f>
        <x:v>0.375</x:v>
      </x:c>
      <x:c r="J96" s="20" t="n">
        <x:f>IFERROR(D96/C96,0)</x:f>
        <x:v>0.9798165137614679</x:v>
      </x:c>
      <x:c r="K96" t="str">
        <x:f>IF(B96&lt;Assumptions!$B$8,"Insufficient",IF(I96&lt;Assumptions!$B$9,"High",IF(I96&lt;Assumptions!$B$10,"Medium","Low")))</x:f>
        <x:v>High</x:v>
      </x:c>
      <x:c r="L96" t="n">
        <x:v>0</x:v>
      </x:c>
    </x:row>
    <x:row r="97" ht="18" customHeight="1">
      <x:c r="A97" t="str">
        <x:v>Gigazoom</x:v>
      </x:c>
      <x:c r="B97" t="n">
        <x:v>16</x:v>
      </x:c>
      <x:c r="C97" t="n">
        <x:v>1077</x:v>
      </x:c>
      <x:c r="D97" t="n">
        <x:v>921</x:v>
      </x:c>
      <x:c r="E97" s="22" t="n">
        <x:v>3268.6</x:v>
      </x:c>
      <x:c r="F97" t="n">
        <x:v>10</x:v>
      </x:c>
      <x:c r="G97" t="n">
        <x:v>8</x:v>
      </x:c>
      <x:c r="H97" s="20" t="n">
        <x:f>IFERROR(F97/B97,0)</x:f>
        <x:v>0.625</x:v>
      </x:c>
      <x:c r="I97" s="20" t="n">
        <x:f>IFERROR(G97/B97,0)</x:f>
        <x:v>0.5</x:v>
      </x:c>
      <x:c r="J97" s="20" t="n">
        <x:f>IFERROR(D97/C97,0)</x:f>
        <x:v>0.8551532033426184</x:v>
      </x:c>
      <x:c r="K97" t="str">
        <x:f>IF(B97&lt;Assumptions!$B$8,"Insufficient",IF(I97&lt;Assumptions!$B$9,"High",IF(I97&lt;Assumptions!$B$10,"Medium","Low")))</x:f>
        <x:v>High</x:v>
      </x:c>
      <x:c r="L97" t="n">
        <x:v>2</x:v>
      </x:c>
    </x:row>
    <x:row r="98" ht="18" customHeight="1">
      <x:c r="A98" t="str">
        <x:v>Voolith</x:v>
      </x:c>
      <x:c r="B98" t="n">
        <x:v>9</x:v>
      </x:c>
      <x:c r="C98" t="n">
        <x:v>393</x:v>
      </x:c>
      <x:c r="D98" t="n">
        <x:v>234</x:v>
      </x:c>
      <x:c r="E98" s="22" t="n">
        <x:v>3242.26</x:v>
      </x:c>
      <x:c r="F98" t="n">
        <x:v>7</x:v>
      </x:c>
      <x:c r="G98" t="n">
        <x:v>6</x:v>
      </x:c>
      <x:c r="H98" s="20" t="n">
        <x:f>IFERROR(F98/B98,0)</x:f>
        <x:v>0.7777777777777778</x:v>
      </x:c>
      <x:c r="I98" s="20" t="n">
        <x:f>IFERROR(G98/B98,0)</x:f>
        <x:v>0.6666666666666666</x:v>
      </x:c>
      <x:c r="J98" s="20" t="n">
        <x:f>IFERROR(D98/C98,0)</x:f>
        <x:v>0.5954198473282443</x:v>
      </x:c>
      <x:c r="K98" t="str">
        <x:f>IF(B98&lt;Assumptions!$B$8,"Insufficient",IF(I98&lt;Assumptions!$B$9,"High",IF(I98&lt;Assumptions!$B$10,"Medium","Low")))</x:f>
        <x:v>Medium</x:v>
      </x:c>
      <x:c r="L98" t="n">
        <x:v>2</x:v>
      </x:c>
    </x:row>
    <x:row r="99" ht="18" customHeight="1">
      <x:c r="A99" t="str">
        <x:v>Devpulse</x:v>
      </x:c>
      <x:c r="B99" t="n">
        <x:v>18</x:v>
      </x:c>
      <x:c r="C99" t="n">
        <x:v>1004</x:v>
      </x:c>
      <x:c r="D99" t="n">
        <x:v>834</x:v>
      </x:c>
      <x:c r="E99" s="22" t="n">
        <x:v>3224.92</x:v>
      </x:c>
      <x:c r="F99" t="n">
        <x:v>10</x:v>
      </x:c>
      <x:c r="G99" t="n">
        <x:v>8</x:v>
      </x:c>
      <x:c r="H99" s="20" t="n">
        <x:f>IFERROR(F99/B99,0)</x:f>
        <x:v>0.5555555555555556</x:v>
      </x:c>
      <x:c r="I99" s="20" t="n">
        <x:f>IFERROR(G99/B99,0)</x:f>
        <x:v>0.4444444444444444</x:v>
      </x:c>
      <x:c r="J99" s="20" t="n">
        <x:f>IFERROR(D99/C99,0)</x:f>
        <x:v>0.8306772908366534</x:v>
      </x:c>
      <x:c r="K99" t="str">
        <x:f>IF(B99&lt;Assumptions!$B$8,"Insufficient",IF(I99&lt;Assumptions!$B$9,"High",IF(I99&lt;Assumptions!$B$10,"Medium","Low")))</x:f>
        <x:v>High</x:v>
      </x:c>
      <x:c r="L99" t="n">
        <x:v>3</x:v>
      </x:c>
    </x:row>
    <x:row r="100" ht="18" customHeight="1">
      <x:c r="A100" t="str">
        <x:v>Realpoint</x:v>
      </x:c>
      <x:c r="B100" t="n">
        <x:v>8</x:v>
      </x:c>
      <x:c r="C100" t="n">
        <x:v>939</x:v>
      </x:c>
      <x:c r="D100" t="n">
        <x:v>901</x:v>
      </x:c>
      <x:c r="E100" s="22" t="n">
        <x:v>3197.33</x:v>
      </x:c>
      <x:c r="F100" t="n">
        <x:v>6</x:v>
      </x:c>
      <x:c r="G100" t="n">
        <x:v>5</x:v>
      </x:c>
      <x:c r="H100" s="20" t="n">
        <x:f>IFERROR(F100/B100,0)</x:f>
        <x:v>0.75</x:v>
      </x:c>
      <x:c r="I100" s="20" t="n">
        <x:f>IFERROR(G100/B100,0)</x:f>
        <x:v>0.625</x:v>
      </x:c>
      <x:c r="J100" s="20" t="n">
        <x:f>IFERROR(D100/C100,0)</x:f>
        <x:v>0.9595314164004259</x:v>
      </x:c>
      <x:c r="K100" t="str">
        <x:f>IF(B100&lt;Assumptions!$B$8,"Insufficient",IF(I100&lt;Assumptions!$B$9,"High",IF(I100&lt;Assumptions!$B$10,"Medium","Low")))</x:f>
        <x:v>High</x:v>
      </x:c>
      <x:c r="L100" t="n">
        <x:v>0</x:v>
      </x:c>
    </x:row>
    <x:row r="101" ht="18" customHeight="1">
      <x:c r="A101" t="str">
        <x:v>Youbridge</x:v>
      </x:c>
      <x:c r="B101" t="n">
        <x:v>16</x:v>
      </x:c>
      <x:c r="C101" t="n">
        <x:v>1355</x:v>
      </x:c>
      <x:c r="D101" t="n">
        <x:v>1299</x:v>
      </x:c>
      <x:c r="E101" s="22" t="n">
        <x:v>3172.77</x:v>
      </x:c>
      <x:c r="F101" t="n">
        <x:v>9</x:v>
      </x:c>
      <x:c r="G101" t="n">
        <x:v>9</x:v>
      </x:c>
      <x:c r="H101" s="20" t="n">
        <x:f>IFERROR(F101/B101,0)</x:f>
        <x:v>0.5625</x:v>
      </x:c>
      <x:c r="I101" s="20" t="n">
        <x:f>IFERROR(G101/B101,0)</x:f>
        <x:v>0.5625</x:v>
      </x:c>
      <x:c r="J101" s="20" t="n">
        <x:f>IFERROR(D101/C101,0)</x:f>
        <x:v>0.9586715867158672</x:v>
      </x:c>
      <x:c r="K101" t="str">
        <x:f>IF(B101&lt;Assumptions!$B$8,"Insufficient",IF(I101&lt;Assumptions!$B$9,"High",IF(I101&lt;Assumptions!$B$10,"Medium","Low")))</x:f>
        <x:v>High</x:v>
      </x:c>
      <x:c r="L101" t="n">
        <x:v>0</x:v>
      </x:c>
    </x:row>
    <x:row r="102" ht="18" customHeight="1">
      <x:c r="A102" t="str">
        <x:v>Yodo</x:v>
      </x:c>
      <x:c r="B102" t="n">
        <x:v>15</x:v>
      </x:c>
      <x:c r="C102" t="n">
        <x:v>1063</x:v>
      </x:c>
      <x:c r="D102" t="n">
        <x:v>1053</x:v>
      </x:c>
      <x:c r="E102" s="22" t="n">
        <x:v>3159.92</x:v>
      </x:c>
      <x:c r="F102" t="n">
        <x:v>10</x:v>
      </x:c>
      <x:c r="G102" t="n">
        <x:v>9</x:v>
      </x:c>
      <x:c r="H102" s="20" t="n">
        <x:f>IFERROR(F102/B102,0)</x:f>
        <x:v>0.6666666666666666</x:v>
      </x:c>
      <x:c r="I102" s="20" t="n">
        <x:f>IFERROR(G102/B102,0)</x:f>
        <x:v>0.6</x:v>
      </x:c>
      <x:c r="J102" s="20" t="n">
        <x:f>IFERROR(D102/C102,0)</x:f>
        <x:v>0.9905926622765757</x:v>
      </x:c>
      <x:c r="K102" t="str">
        <x:f>IF(B102&lt;Assumptions!$B$8,"Insufficient",IF(I102&lt;Assumptions!$B$9,"High",IF(I102&lt;Assumptions!$B$10,"Medium","Low")))</x:f>
        <x:v>High</x:v>
      </x:c>
      <x:c r="L102" t="n">
        <x:v>0</x:v>
      </x:c>
    </x:row>
    <x:row r="103" ht="18" customHeight="1">
      <x:c r="A103" t="str">
        <x:v>Eimbee</x:v>
      </x:c>
      <x:c r="B103" t="n">
        <x:v>21</x:v>
      </x:c>
      <x:c r="C103" t="n">
        <x:v>717</x:v>
      </x:c>
      <x:c r="D103" t="n">
        <x:v>594</x:v>
      </x:c>
      <x:c r="E103" s="22" t="n">
        <x:v>3140.15</x:v>
      </x:c>
      <x:c r="F103" t="n">
        <x:v>10</x:v>
      </x:c>
      <x:c r="G103" t="n">
        <x:v>7</x:v>
      </x:c>
      <x:c r="H103" s="20" t="n">
        <x:f>IFERROR(F103/B103,0)</x:f>
        <x:v>0.47619047619047616</x:v>
      </x:c>
      <x:c r="I103" s="20" t="n">
        <x:f>IFERROR(G103/B103,0)</x:f>
        <x:v>0.3333333333333333</x:v>
      </x:c>
      <x:c r="J103" s="20" t="n">
        <x:f>IFERROR(D103/C103,0)</x:f>
        <x:v>0.8284518828451883</x:v>
      </x:c>
      <x:c r="K103" t="str">
        <x:f>IF(B103&lt;Assumptions!$B$8,"Insufficient",IF(I103&lt;Assumptions!$B$9,"High",IF(I103&lt;Assumptions!$B$10,"Medium","Low")))</x:f>
        <x:v>High</x:v>
      </x:c>
      <x:c r="L103" t="n">
        <x:v>2</x:v>
      </x:c>
    </x:row>
    <x:row r="104" ht="18" customHeight="1">
      <x:c r="A104" t="str">
        <x:v>Buzzdog</x:v>
      </x:c>
      <x:c r="B104" t="n">
        <x:v>5</x:v>
      </x:c>
      <x:c r="C104" t="n">
        <x:v>646</x:v>
      </x:c>
      <x:c r="D104" t="n">
        <x:v>646</x:v>
      </x:c>
      <x:c r="E104" s="22" t="n">
        <x:v>3134.94</x:v>
      </x:c>
      <x:c r="F104" t="n">
        <x:v>5</x:v>
      </x:c>
      <x:c r="G104" t="n">
        <x:v>5</x:v>
      </x:c>
      <x:c r="H104" s="20" t="n">
        <x:f>IFERROR(F104/B104,0)</x:f>
        <x:v>1</x:v>
      </x:c>
      <x:c r="I104" s="20" t="n">
        <x:f>IFERROR(G104/B104,0)</x:f>
        <x:v>1</x:v>
      </x:c>
      <x:c r="J104" s="20" t="n">
        <x:f>IFERROR(D104/C104,0)</x:f>
        <x:v>1</x:v>
      </x:c>
      <x:c r="K104" t="str">
        <x:f>IF(B104&lt;Assumptions!$B$8,"Insufficient",IF(I104&lt;Assumptions!$B$9,"High",IF(I104&lt;Assumptions!$B$10,"Medium","Low")))</x:f>
        <x:v>Low</x:v>
      </x:c>
      <x:c r="L104" t="n">
        <x:v>0</x:v>
      </x:c>
    </x:row>
    <x:row r="105" ht="18" customHeight="1">
      <x:c r="A105" t="str">
        <x:v>Aibox</x:v>
      </x:c>
      <x:c r="B105" t="n">
        <x:v>11</x:v>
      </x:c>
      <x:c r="C105" t="n">
        <x:v>388</x:v>
      </x:c>
      <x:c r="D105" t="n">
        <x:v>308</x:v>
      </x:c>
      <x:c r="E105" s="22" t="n">
        <x:v>3122.94</x:v>
      </x:c>
      <x:c r="F105" t="n">
        <x:v>7</x:v>
      </x:c>
      <x:c r="G105" t="n">
        <x:v>6</x:v>
      </x:c>
      <x:c r="H105" s="20" t="n">
        <x:f>IFERROR(F105/B105,0)</x:f>
        <x:v>0.6363636363636364</x:v>
      </x:c>
      <x:c r="I105" s="20" t="n">
        <x:f>IFERROR(G105/B105,0)</x:f>
        <x:v>0.5454545454545454</x:v>
      </x:c>
      <x:c r="J105" s="20" t="n">
        <x:f>IFERROR(D105/C105,0)</x:f>
        <x:v>0.7938144329896907</x:v>
      </x:c>
      <x:c r="K105" t="str">
        <x:f>IF(B105&lt;Assumptions!$B$8,"Insufficient",IF(I105&lt;Assumptions!$B$9,"High",IF(I105&lt;Assumptions!$B$10,"Medium","Low")))</x:f>
        <x:v>High</x:v>
      </x:c>
      <x:c r="L105" t="n">
        <x:v>1</x:v>
      </x:c>
    </x:row>
    <x:row r="106" ht="18" customHeight="1">
      <x:c r="A106" t="str">
        <x:v>Omba</x:v>
      </x:c>
      <x:c r="B106" t="n">
        <x:v>18</x:v>
      </x:c>
      <x:c r="C106" t="n">
        <x:v>1289</x:v>
      </x:c>
      <x:c r="D106" t="n">
        <x:v>1282</x:v>
      </x:c>
      <x:c r="E106" s="22" t="n">
        <x:v>3089.27</x:v>
      </x:c>
      <x:c r="F106" t="n">
        <x:v>14</x:v>
      </x:c>
      <x:c r="G106" t="n">
        <x:v>14</x:v>
      </x:c>
      <x:c r="H106" s="20" t="n">
        <x:f>IFERROR(F106/B106,0)</x:f>
        <x:v>0.7777777777777778</x:v>
      </x:c>
      <x:c r="I106" s="20" t="n">
        <x:f>IFERROR(G106/B106,0)</x:f>
        <x:v>0.7777777777777778</x:v>
      </x:c>
      <x:c r="J106" s="20" t="n">
        <x:f>IFERROR(D106/C106,0)</x:f>
        <x:v>0.9945694336695112</x:v>
      </x:c>
      <x:c r="K106" t="str">
        <x:f>IF(B106&lt;Assumptions!$B$8,"Insufficient",IF(I106&lt;Assumptions!$B$9,"High",IF(I106&lt;Assumptions!$B$10,"Medium","Low")))</x:f>
        <x:v>Medium</x:v>
      </x:c>
      <x:c r="L106" t="n">
        <x:v>1</x:v>
      </x:c>
    </x:row>
    <x:row r="107" ht="18" customHeight="1">
      <x:c r="A107" t="str">
        <x:v>Photobean</x:v>
      </x:c>
      <x:c r="B107" t="n">
        <x:v>12</x:v>
      </x:c>
      <x:c r="C107" t="n">
        <x:v>775</x:v>
      </x:c>
      <x:c r="D107" t="n">
        <x:v>697</x:v>
      </x:c>
      <x:c r="E107" s="22" t="n">
        <x:v>3079.57</x:v>
      </x:c>
      <x:c r="F107" t="n">
        <x:v>9</x:v>
      </x:c>
      <x:c r="G107" t="n">
        <x:v>7</x:v>
      </x:c>
      <x:c r="H107" s="20" t="n">
        <x:f>IFERROR(F107/B107,0)</x:f>
        <x:v>0.75</x:v>
      </x:c>
      <x:c r="I107" s="20" t="n">
        <x:f>IFERROR(G107/B107,0)</x:f>
        <x:v>0.5833333333333334</x:v>
      </x:c>
      <x:c r="J107" s="20" t="n">
        <x:f>IFERROR(D107/C107,0)</x:f>
        <x:v>0.8993548387096775</x:v>
      </x:c>
      <x:c r="K107" t="str">
        <x:f>IF(B107&lt;Assumptions!$B$8,"Insufficient",IF(I107&lt;Assumptions!$B$9,"High",IF(I107&lt;Assumptions!$B$10,"Medium","Low")))</x:f>
        <x:v>High</x:v>
      </x:c>
      <x:c r="L107" t="n">
        <x:v>0</x:v>
      </x:c>
    </x:row>
    <x:row r="108" ht="18" customHeight="1">
      <x:c r="A108" t="str">
        <x:v>Devcast</x:v>
      </x:c>
      <x:c r="B108" t="n">
        <x:v>15</x:v>
      </x:c>
      <x:c r="C108" t="n">
        <x:v>1082</x:v>
      </x:c>
      <x:c r="D108" t="n">
        <x:v>1016</x:v>
      </x:c>
      <x:c r="E108" s="22" t="n">
        <x:v>3076.12</x:v>
      </x:c>
      <x:c r="F108" t="n">
        <x:v>13</x:v>
      </x:c>
      <x:c r="G108" t="n">
        <x:v>13</x:v>
      </x:c>
      <x:c r="H108" s="20" t="n">
        <x:f>IFERROR(F108/B108,0)</x:f>
        <x:v>0.8666666666666667</x:v>
      </x:c>
      <x:c r="I108" s="20" t="n">
        <x:f>IFERROR(G108/B108,0)</x:f>
        <x:v>0.8666666666666667</x:v>
      </x:c>
      <x:c r="J108" s="20" t="n">
        <x:f>IFERROR(D108/C108,0)</x:f>
        <x:v>0.9390018484288355</x:v>
      </x:c>
      <x:c r="K108" t="str">
        <x:f>IF(B108&lt;Assumptions!$B$8,"Insufficient",IF(I108&lt;Assumptions!$B$9,"High",IF(I108&lt;Assumptions!$B$10,"Medium","Low")))</x:f>
        <x:v>Low</x:v>
      </x:c>
      <x:c r="L108" t="n">
        <x:v>2</x:v>
      </x:c>
    </x:row>
    <x:row r="109" ht="18" customHeight="1">
      <x:c r="A109" t="str">
        <x:v>Layo</x:v>
      </x:c>
      <x:c r="B109" t="n">
        <x:v>15</x:v>
      </x:c>
      <x:c r="C109" t="n">
        <x:v>860</x:v>
      </x:c>
      <x:c r="D109" t="n">
        <x:v>717</x:v>
      </x:c>
      <x:c r="E109" s="22" t="n">
        <x:v>3054.56</x:v>
      </x:c>
      <x:c r="F109" t="n">
        <x:v>9</x:v>
      </x:c>
      <x:c r="G109" t="n">
        <x:v>7</x:v>
      </x:c>
      <x:c r="H109" s="20" t="n">
        <x:f>IFERROR(F109/B109,0)</x:f>
        <x:v>0.6</x:v>
      </x:c>
      <x:c r="I109" s="20" t="n">
        <x:f>IFERROR(G109/B109,0)</x:f>
        <x:v>0.4666666666666667</x:v>
      </x:c>
      <x:c r="J109" s="20" t="n">
        <x:f>IFERROR(D109/C109,0)</x:f>
        <x:v>0.8337209302325581</x:v>
      </x:c>
      <x:c r="K109" t="str">
        <x:f>IF(B109&lt;Assumptions!$B$8,"Insufficient",IF(I109&lt;Assumptions!$B$9,"High",IF(I109&lt;Assumptions!$B$10,"Medium","Low")))</x:f>
        <x:v>High</x:v>
      </x:c>
      <x:c r="L109" t="n">
        <x:v>1</x:v>
      </x:c>
    </x:row>
    <x:row r="110" ht="18" customHeight="1">
      <x:c r="A110" t="str">
        <x:v>Skinix</x:v>
      </x:c>
      <x:c r="B110" t="n">
        <x:v>10</x:v>
      </x:c>
      <x:c r="C110" t="n">
        <x:v>550</x:v>
      </x:c>
      <x:c r="D110" t="n">
        <x:v>438</x:v>
      </x:c>
      <x:c r="E110" s="22" t="n">
        <x:v>3010.69</x:v>
      </x:c>
      <x:c r="F110" t="n">
        <x:v>4</x:v>
      </x:c>
      <x:c r="G110" t="n">
        <x:v>3</x:v>
      </x:c>
      <x:c r="H110" s="20" t="n">
        <x:f>IFERROR(F110/B110,0)</x:f>
        <x:v>0.4</x:v>
      </x:c>
      <x:c r="I110" s="20" t="n">
        <x:f>IFERROR(G110/B110,0)</x:f>
        <x:v>0.3</x:v>
      </x:c>
      <x:c r="J110" s="20" t="n">
        <x:f>IFERROR(D110/C110,0)</x:f>
        <x:v>0.7963636363636364</x:v>
      </x:c>
      <x:c r="K110" t="str">
        <x:f>IF(B110&lt;Assumptions!$B$8,"Insufficient",IF(I110&lt;Assumptions!$B$9,"High",IF(I110&lt;Assumptions!$B$10,"Medium","Low")))</x:f>
        <x:v>High</x:v>
      </x:c>
      <x:c r="L110" t="n">
        <x:v>1</x:v>
      </x:c>
    </x:row>
    <x:row r="111" ht="18" customHeight="1">
      <x:c r="A111" t="str">
        <x:v>Edgewire</x:v>
      </x:c>
      <x:c r="B111" t="n">
        <x:v>10</x:v>
      </x:c>
      <x:c r="C111" t="n">
        <x:v>1061</x:v>
      </x:c>
      <x:c r="D111" t="n">
        <x:v>1029</x:v>
      </x:c>
      <x:c r="E111" s="22" t="n">
        <x:v>2988.88</x:v>
      </x:c>
      <x:c r="F111" t="n">
        <x:v>4</x:v>
      </x:c>
      <x:c r="G111" t="n">
        <x:v>4</x:v>
      </x:c>
      <x:c r="H111" s="20" t="n">
        <x:f>IFERROR(F111/B111,0)</x:f>
        <x:v>0.4</x:v>
      </x:c>
      <x:c r="I111" s="20" t="n">
        <x:f>IFERROR(G111/B111,0)</x:f>
        <x:v>0.4</x:v>
      </x:c>
      <x:c r="J111" s="20" t="n">
        <x:f>IFERROR(D111/C111,0)</x:f>
        <x:v>0.9698397737983034</x:v>
      </x:c>
      <x:c r="K111" t="str">
        <x:f>IF(B111&lt;Assumptions!$B$8,"Insufficient",IF(I111&lt;Assumptions!$B$9,"High",IF(I111&lt;Assumptions!$B$10,"Medium","Low")))</x:f>
        <x:v>High</x:v>
      </x:c>
      <x:c r="L111" t="n">
        <x:v>0</x:v>
      </x:c>
    </x:row>
    <x:row r="112" ht="18" customHeight="1">
      <x:c r="A112" t="str">
        <x:v>Shufflebeat</x:v>
      </x:c>
      <x:c r="B112" t="n">
        <x:v>7</x:v>
      </x:c>
      <x:c r="C112" t="n">
        <x:v>796</x:v>
      </x:c>
      <x:c r="D112" t="n">
        <x:v>717</x:v>
      </x:c>
      <x:c r="E112" s="22" t="n">
        <x:v>2974.77</x:v>
      </x:c>
      <x:c r="F112" t="n">
        <x:v>5</x:v>
      </x:c>
      <x:c r="G112" t="n">
        <x:v>2</x:v>
      </x:c>
      <x:c r="H112" s="20" t="n">
        <x:f>IFERROR(F112/B112,0)</x:f>
        <x:v>0.7142857142857143</x:v>
      </x:c>
      <x:c r="I112" s="20" t="n">
        <x:f>IFERROR(G112/B112,0)</x:f>
        <x:v>0.2857142857142857</x:v>
      </x:c>
      <x:c r="J112" s="20" t="n">
        <x:f>IFERROR(D112/C112,0)</x:f>
        <x:v>0.9007537688442211</x:v>
      </x:c>
      <x:c r="K112" t="str">
        <x:f>IF(B112&lt;Assumptions!$B$8,"Insufficient",IF(I112&lt;Assumptions!$B$9,"High",IF(I112&lt;Assumptions!$B$10,"Medium","Low")))</x:f>
        <x:v>High</x:v>
      </x:c>
      <x:c r="L112" t="n">
        <x:v>0</x:v>
      </x:c>
    </x:row>
    <x:row r="113" ht="18" customHeight="1">
      <x:c r="A113" t="str">
        <x:v>Skajo</x:v>
      </x:c>
      <x:c r="B113" t="n">
        <x:v>10</x:v>
      </x:c>
      <x:c r="C113" t="n">
        <x:v>765</x:v>
      </x:c>
      <x:c r="D113" t="n">
        <x:v>625</x:v>
      </x:c>
      <x:c r="E113" s="22" t="n">
        <x:v>2969.23</x:v>
      </x:c>
      <x:c r="F113" t="n">
        <x:v>5</x:v>
      </x:c>
      <x:c r="G113" t="n">
        <x:v>4</x:v>
      </x:c>
      <x:c r="H113" s="20" t="n">
        <x:f>IFERROR(F113/B113,0)</x:f>
        <x:v>0.5</x:v>
      </x:c>
      <x:c r="I113" s="20" t="n">
        <x:f>IFERROR(G113/B113,0)</x:f>
        <x:v>0.4</x:v>
      </x:c>
      <x:c r="J113" s="20" t="n">
        <x:f>IFERROR(D113/C113,0)</x:f>
        <x:v>0.8169934640522876</x:v>
      </x:c>
      <x:c r="K113" t="str">
        <x:f>IF(B113&lt;Assumptions!$B$8,"Insufficient",IF(I113&lt;Assumptions!$B$9,"High",IF(I113&lt;Assumptions!$B$10,"Medium","Low")))</x:f>
        <x:v>High</x:v>
      </x:c>
      <x:c r="L113" t="n">
        <x:v>2</x:v>
      </x:c>
    </x:row>
    <x:row r="114" ht="18" customHeight="1">
      <x:c r="A114" t="str">
        <x:v>Kazu</x:v>
      </x:c>
      <x:c r="B114" t="n">
        <x:v>7</x:v>
      </x:c>
      <x:c r="C114" t="n">
        <x:v>759</x:v>
      </x:c>
      <x:c r="D114" t="n">
        <x:v>733</x:v>
      </x:c>
      <x:c r="E114" s="22" t="n">
        <x:v>2966.47</x:v>
      </x:c>
      <x:c r="F114" t="n">
        <x:v>4</x:v>
      </x:c>
      <x:c r="G114" t="n">
        <x:v>4</x:v>
      </x:c>
      <x:c r="H114" s="20" t="n">
        <x:f>IFERROR(F114/B114,0)</x:f>
        <x:v>0.5714285714285714</x:v>
      </x:c>
      <x:c r="I114" s="20" t="n">
        <x:f>IFERROR(G114/B114,0)</x:f>
        <x:v>0.5714285714285714</x:v>
      </x:c>
      <x:c r="J114" s="20" t="n">
        <x:f>IFERROR(D114/C114,0)</x:f>
        <x:v>0.9657444005270093</x:v>
      </x:c>
      <x:c r="K114" t="str">
        <x:f>IF(B114&lt;Assumptions!$B$8,"Insufficient",IF(I114&lt;Assumptions!$B$9,"High",IF(I114&lt;Assumptions!$B$10,"Medium","Low")))</x:f>
        <x:v>High</x:v>
      </x:c>
      <x:c r="L114" t="n">
        <x:v>0</x:v>
      </x:c>
    </x:row>
    <x:row r="115" ht="18" customHeight="1">
      <x:c r="A115" t="str">
        <x:v>Blognation</x:v>
      </x:c>
      <x:c r="B115" t="n">
        <x:v>9</x:v>
      </x:c>
      <x:c r="C115" t="n">
        <x:v>846</x:v>
      </x:c>
      <x:c r="D115" t="n">
        <x:v>846</x:v>
      </x:c>
      <x:c r="E115" s="22" t="n">
        <x:v>2934.99</x:v>
      </x:c>
      <x:c r="F115" t="n">
        <x:v>6</x:v>
      </x:c>
      <x:c r="G115" t="n">
        <x:v>6</x:v>
      </x:c>
      <x:c r="H115" s="20" t="n">
        <x:f>IFERROR(F115/B115,0)</x:f>
        <x:v>0.6666666666666666</x:v>
      </x:c>
      <x:c r="I115" s="20" t="n">
        <x:f>IFERROR(G115/B115,0)</x:f>
        <x:v>0.6666666666666666</x:v>
      </x:c>
      <x:c r="J115" s="20" t="n">
        <x:f>IFERROR(D115/C115,0)</x:f>
        <x:v>1</x:v>
      </x:c>
      <x:c r="K115" t="str">
        <x:f>IF(B115&lt;Assumptions!$B$8,"Insufficient",IF(I115&lt;Assumptions!$B$9,"High",IF(I115&lt;Assumptions!$B$10,"Medium","Low")))</x:f>
        <x:v>Medium</x:v>
      </x:c>
      <x:c r="L115" t="n">
        <x:v>0</x:v>
      </x:c>
    </x:row>
    <x:row r="116" ht="18" customHeight="1">
      <x:c r="A116" t="str">
        <x:v>Fivebridge</x:v>
      </x:c>
      <x:c r="B116" t="n">
        <x:v>20</x:v>
      </x:c>
      <x:c r="C116" t="n">
        <x:v>1413</x:v>
      </x:c>
      <x:c r="D116" t="n">
        <x:v>1196</x:v>
      </x:c>
      <x:c r="E116" s="22" t="n">
        <x:v>2880.5</x:v>
      </x:c>
      <x:c r="F116" t="n">
        <x:v>16</x:v>
      </x:c>
      <x:c r="G116" t="n">
        <x:v>15</x:v>
      </x:c>
      <x:c r="H116" s="20" t="n">
        <x:f>IFERROR(F116/B116,0)</x:f>
        <x:v>0.8</x:v>
      </x:c>
      <x:c r="I116" s="20" t="n">
        <x:f>IFERROR(G116/B116,0)</x:f>
        <x:v>0.75</x:v>
      </x:c>
      <x:c r="J116" s="20" t="n">
        <x:f>IFERROR(D116/C116,0)</x:f>
        <x:v>0.8464260438782731</x:v>
      </x:c>
      <x:c r="K116" t="str">
        <x:f>IF(B116&lt;Assumptions!$B$8,"Insufficient",IF(I116&lt;Assumptions!$B$9,"High",IF(I116&lt;Assumptions!$B$10,"Medium","Low")))</x:f>
        <x:v>Medium</x:v>
      </x:c>
      <x:c r="L116" t="n">
        <x:v>3</x:v>
      </x:c>
    </x:row>
    <x:row r="117" ht="18" customHeight="1">
      <x:c r="A117" t="str">
        <x:v>Browsetype</x:v>
      </x:c>
      <x:c r="B117" t="n">
        <x:v>13</x:v>
      </x:c>
      <x:c r="C117" t="n">
        <x:v>881</x:v>
      </x:c>
      <x:c r="D117" t="n">
        <x:v>831</x:v>
      </x:c>
      <x:c r="E117" s="22" t="n">
        <x:v>2876.89</x:v>
      </x:c>
      <x:c r="F117" t="n">
        <x:v>8</x:v>
      </x:c>
      <x:c r="G117" t="n">
        <x:v>6</x:v>
      </x:c>
      <x:c r="H117" s="20" t="n">
        <x:f>IFERROR(F117/B117,0)</x:f>
        <x:v>0.6153846153846154</x:v>
      </x:c>
      <x:c r="I117" s="20" t="n">
        <x:f>IFERROR(G117/B117,0)</x:f>
        <x:v>0.46153846153846156</x:v>
      </x:c>
      <x:c r="J117" s="20" t="n">
        <x:f>IFERROR(D117/C117,0)</x:f>
        <x:v>0.9432463110102156</x:v>
      </x:c>
      <x:c r="K117" t="str">
        <x:f>IF(B117&lt;Assumptions!$B$8,"Insufficient",IF(I117&lt;Assumptions!$B$9,"High",IF(I117&lt;Assumptions!$B$10,"Medium","Low")))</x:f>
        <x:v>High</x:v>
      </x:c>
      <x:c r="L117" t="n">
        <x:v>0</x:v>
      </x:c>
    </x:row>
    <x:row r="118" ht="18" customHeight="1">
      <x:c r="A118" t="str">
        <x:v>Yotz</x:v>
      </x:c>
      <x:c r="B118" t="n">
        <x:v>9</x:v>
      </x:c>
      <x:c r="C118" t="n">
        <x:v>436</x:v>
      </x:c>
      <x:c r="D118" t="n">
        <x:v>422</x:v>
      </x:c>
      <x:c r="E118" s="22" t="n">
        <x:v>2869.39</x:v>
      </x:c>
      <x:c r="F118" t="n">
        <x:v>8</x:v>
      </x:c>
      <x:c r="G118" t="n">
        <x:v>7</x:v>
      </x:c>
      <x:c r="H118" s="20" t="n">
        <x:f>IFERROR(F118/B118,0)</x:f>
        <x:v>0.8888888888888888</x:v>
      </x:c>
      <x:c r="I118" s="20" t="n">
        <x:f>IFERROR(G118/B118,0)</x:f>
        <x:v>0.7777777777777778</x:v>
      </x:c>
      <x:c r="J118" s="20" t="n">
        <x:f>IFERROR(D118/C118,0)</x:f>
        <x:v>0.9678899082568807</x:v>
      </x:c>
      <x:c r="K118" t="str">
        <x:f>IF(B118&lt;Assumptions!$B$8,"Insufficient",IF(I118&lt;Assumptions!$B$9,"High",IF(I118&lt;Assumptions!$B$10,"Medium","Low")))</x:f>
        <x:v>Medium</x:v>
      </x:c>
      <x:c r="L118" t="n">
        <x:v>0</x:v>
      </x:c>
    </x:row>
    <x:row r="119" ht="18" customHeight="1">
      <x:c r="A119" t="str">
        <x:v>Gigashots</x:v>
      </x:c>
      <x:c r="B119" t="n">
        <x:v>20</x:v>
      </x:c>
      <x:c r="C119" t="n">
        <x:v>1585</x:v>
      </x:c>
      <x:c r="D119" t="n">
        <x:v>1185</x:v>
      </x:c>
      <x:c r="E119" s="22" t="n">
        <x:v>2853.44</x:v>
      </x:c>
      <x:c r="F119" t="n">
        <x:v>11</x:v>
      </x:c>
      <x:c r="G119" t="n">
        <x:v>8</x:v>
      </x:c>
      <x:c r="H119" s="20" t="n">
        <x:f>IFERROR(F119/B119,0)</x:f>
        <x:v>0.55</x:v>
      </x:c>
      <x:c r="I119" s="20" t="n">
        <x:f>IFERROR(G119/B119,0)</x:f>
        <x:v>0.4</x:v>
      </x:c>
      <x:c r="J119" s="20" t="n">
        <x:f>IFERROR(D119/C119,0)</x:f>
        <x:v>0.7476340694006309</x:v>
      </x:c>
      <x:c r="K119" t="str">
        <x:f>IF(B119&lt;Assumptions!$B$8,"Insufficient",IF(I119&lt;Assumptions!$B$9,"High",IF(I119&lt;Assumptions!$B$10,"Medium","Low")))</x:f>
        <x:v>High</x:v>
      </x:c>
      <x:c r="L119" t="n">
        <x:v>3</x:v>
      </x:c>
    </x:row>
    <x:row r="120" ht="18" customHeight="1">
      <x:c r="A120" t="str">
        <x:v>Flashspan</x:v>
      </x:c>
      <x:c r="B120" t="n">
        <x:v>14</x:v>
      </x:c>
      <x:c r="C120" t="n">
        <x:v>1276</x:v>
      </x:c>
      <x:c r="D120" t="n">
        <x:v>1038</x:v>
      </x:c>
      <x:c r="E120" s="22" t="n">
        <x:v>2769.65</x:v>
      </x:c>
      <x:c r="F120" t="n">
        <x:v>12</x:v>
      </x:c>
      <x:c r="G120" t="n">
        <x:v>10</x:v>
      </x:c>
      <x:c r="H120" s="20" t="n">
        <x:f>IFERROR(F120/B120,0)</x:f>
        <x:v>0.8571428571428571</x:v>
      </x:c>
      <x:c r="I120" s="20" t="n">
        <x:f>IFERROR(G120/B120,0)</x:f>
        <x:v>0.7142857142857143</x:v>
      </x:c>
      <x:c r="J120" s="20" t="n">
        <x:f>IFERROR(D120/C120,0)</x:f>
        <x:v>0.8134796238244514</x:v>
      </x:c>
      <x:c r="K120" t="str">
        <x:f>IF(B120&lt;Assumptions!$B$8,"Insufficient",IF(I120&lt;Assumptions!$B$9,"High",IF(I120&lt;Assumptions!$B$10,"Medium","Low")))</x:f>
        <x:v>Medium</x:v>
      </x:c>
      <x:c r="L120" t="n">
        <x:v>2</x:v>
      </x:c>
    </x:row>
    <x:row r="121" ht="18" customHeight="1">
      <x:c r="A121" t="str">
        <x:v>Oozz</x:v>
      </x:c>
      <x:c r="B121" t="n">
        <x:v>6</x:v>
      </x:c>
      <x:c r="C121" t="n">
        <x:v>392</x:v>
      </x:c>
      <x:c r="D121" t="n">
        <x:v>384</x:v>
      </x:c>
      <x:c r="E121" s="22" t="n">
        <x:v>2732.85</x:v>
      </x:c>
      <x:c r="F121" t="n">
        <x:v>4</x:v>
      </x:c>
      <x:c r="G121" t="n">
        <x:v>3</x:v>
      </x:c>
      <x:c r="H121" s="20" t="n">
        <x:f>IFERROR(F121/B121,0)</x:f>
        <x:v>0.6666666666666666</x:v>
      </x:c>
      <x:c r="I121" s="20" t="n">
        <x:f>IFERROR(G121/B121,0)</x:f>
        <x:v>0.5</x:v>
      </x:c>
      <x:c r="J121" s="20" t="n">
        <x:f>IFERROR(D121/C121,0)</x:f>
        <x:v>0.9795918367346939</x:v>
      </x:c>
      <x:c r="K121" t="str">
        <x:f>IF(B121&lt;Assumptions!$B$8,"Insufficient",IF(I121&lt;Assumptions!$B$9,"High",IF(I121&lt;Assumptions!$B$10,"Medium","Low")))</x:f>
        <x:v>High</x:v>
      </x:c>
      <x:c r="L121" t="n">
        <x:v>0</x:v>
      </x:c>
    </x:row>
    <x:row r="122" ht="18" customHeight="1">
      <x:c r="A122" t="str">
        <x:v>Skimia</x:v>
      </x:c>
      <x:c r="B122" t="n">
        <x:v>16</x:v>
      </x:c>
      <x:c r="C122" t="n">
        <x:v>1196</x:v>
      </x:c>
      <x:c r="D122" t="n">
        <x:v>1186</x:v>
      </x:c>
      <x:c r="E122" s="22" t="n">
        <x:v>2723.29</x:v>
      </x:c>
      <x:c r="F122" t="n">
        <x:v>11</x:v>
      </x:c>
      <x:c r="G122" t="n">
        <x:v>11</x:v>
      </x:c>
      <x:c r="H122" s="20" t="n">
        <x:f>IFERROR(F122/B122,0)</x:f>
        <x:v>0.6875</x:v>
      </x:c>
      <x:c r="I122" s="20" t="n">
        <x:f>IFERROR(G122/B122,0)</x:f>
        <x:v>0.6875</x:v>
      </x:c>
      <x:c r="J122" s="20" t="n">
        <x:f>IFERROR(D122/C122,0)</x:f>
        <x:v>0.9916387959866221</x:v>
      </x:c>
      <x:c r="K122" t="str">
        <x:f>IF(B122&lt;Assumptions!$B$8,"Insufficient",IF(I122&lt;Assumptions!$B$9,"High",IF(I122&lt;Assumptions!$B$10,"Medium","Low")))</x:f>
        <x:v>Medium</x:v>
      </x:c>
      <x:c r="L122" t="n">
        <x:v>0</x:v>
      </x:c>
    </x:row>
    <x:row r="123" ht="18" customHeight="1">
      <x:c r="A123" t="str">
        <x:v>Roombo</x:v>
      </x:c>
      <x:c r="B123" t="n">
        <x:v>11</x:v>
      </x:c>
      <x:c r="C123" t="n">
        <x:v>705</x:v>
      </x:c>
      <x:c r="D123" t="n">
        <x:v>647</x:v>
      </x:c>
      <x:c r="E123" s="22" t="n">
        <x:v>2704.76</x:v>
      </x:c>
      <x:c r="F123" t="n">
        <x:v>10</x:v>
      </x:c>
      <x:c r="G123" t="n">
        <x:v>8</x:v>
      </x:c>
      <x:c r="H123" s="20" t="n">
        <x:f>IFERROR(F123/B123,0)</x:f>
        <x:v>0.9090909090909091</x:v>
      </x:c>
      <x:c r="I123" s="20" t="n">
        <x:f>IFERROR(G123/B123,0)</x:f>
        <x:v>0.7272727272727273</x:v>
      </x:c>
      <x:c r="J123" s="20" t="n">
        <x:f>IFERROR(D123/C123,0)</x:f>
        <x:v>0.9177304964539007</x:v>
      </x:c>
      <x:c r="K123" t="str">
        <x:f>IF(B123&lt;Assumptions!$B$8,"Insufficient",IF(I123&lt;Assumptions!$B$9,"High",IF(I123&lt;Assumptions!$B$10,"Medium","Low")))</x:f>
        <x:v>Medium</x:v>
      </x:c>
      <x:c r="L123" t="n">
        <x:v>0</x:v>
      </x:c>
    </x:row>
    <x:row r="124" ht="18" customHeight="1">
      <x:c r="A124" t="str">
        <x:v>Livetube</x:v>
      </x:c>
      <x:c r="B124" t="n">
        <x:v>18</x:v>
      </x:c>
      <x:c r="C124" t="n">
        <x:v>1261</x:v>
      </x:c>
      <x:c r="D124" t="n">
        <x:v>1054</x:v>
      </x:c>
      <x:c r="E124" s="22" t="n">
        <x:v>2690.65</x:v>
      </x:c>
      <x:c r="F124" t="n">
        <x:v>9</x:v>
      </x:c>
      <x:c r="G124" t="n">
        <x:v>6</x:v>
      </x:c>
      <x:c r="H124" s="20" t="n">
        <x:f>IFERROR(F124/B124,0)</x:f>
        <x:v>0.5</x:v>
      </x:c>
      <x:c r="I124" s="20" t="n">
        <x:f>IFERROR(G124/B124,0)</x:f>
        <x:v>0.3333333333333333</x:v>
      </x:c>
      <x:c r="J124" s="20" t="n">
        <x:f>IFERROR(D124/C124,0)</x:f>
        <x:v>0.8358445678033307</x:v>
      </x:c>
      <x:c r="K124" t="str">
        <x:f>IF(B124&lt;Assumptions!$B$8,"Insufficient",IF(I124&lt;Assumptions!$B$9,"High",IF(I124&lt;Assumptions!$B$10,"Medium","Low")))</x:f>
        <x:v>High</x:v>
      </x:c>
      <x:c r="L124" t="n">
        <x:v>1</x:v>
      </x:c>
    </x:row>
    <x:row r="125" ht="18" customHeight="1">
      <x:c r="A125" t="str">
        <x:v>Mydo</x:v>
      </x:c>
      <x:c r="B125" t="n">
        <x:v>11</x:v>
      </x:c>
      <x:c r="C125" t="n">
        <x:v>1406</x:v>
      </x:c>
      <x:c r="D125" t="n">
        <x:v>997</x:v>
      </x:c>
      <x:c r="E125" s="22" t="n">
        <x:v>2677.99</x:v>
      </x:c>
      <x:c r="F125" t="n">
        <x:v>8</x:v>
      </x:c>
      <x:c r="G125" t="n">
        <x:v>8</x:v>
      </x:c>
      <x:c r="H125" s="20" t="n">
        <x:f>IFERROR(F125/B125,0)</x:f>
        <x:v>0.7272727272727273</x:v>
      </x:c>
      <x:c r="I125" s="20" t="n">
        <x:f>IFERROR(G125/B125,0)</x:f>
        <x:v>0.7272727272727273</x:v>
      </x:c>
      <x:c r="J125" s="20" t="n">
        <x:f>IFERROR(D125/C125,0)</x:f>
        <x:v>0.7091038406827881</x:v>
      </x:c>
      <x:c r="K125" t="str">
        <x:f>IF(B125&lt;Assumptions!$B$8,"Insufficient",IF(I125&lt;Assumptions!$B$9,"High",IF(I125&lt;Assumptions!$B$10,"Medium","Low")))</x:f>
        <x:v>Medium</x:v>
      </x:c>
      <x:c r="L125" t="n">
        <x:v>3</x:v>
      </x:c>
    </x:row>
    <x:row r="126" ht="18" customHeight="1">
      <x:c r="A126" t="str">
        <x:v>Twitterbridge</x:v>
      </x:c>
      <x:c r="B126" t="n">
        <x:v>6</x:v>
      </x:c>
      <x:c r="C126" t="n">
        <x:v>873</x:v>
      </x:c>
      <x:c r="D126" t="n">
        <x:v>873</x:v>
      </x:c>
      <x:c r="E126" s="22" t="n">
        <x:v>2659.56</x:v>
      </x:c>
      <x:c r="F126" t="n">
        <x:v>5</x:v>
      </x:c>
      <x:c r="G126" t="n">
        <x:v>5</x:v>
      </x:c>
      <x:c r="H126" s="20" t="n">
        <x:f>IFERROR(F126/B126,0)</x:f>
        <x:v>0.8333333333333334</x:v>
      </x:c>
      <x:c r="I126" s="20" t="n">
        <x:f>IFERROR(G126/B126,0)</x:f>
        <x:v>0.8333333333333334</x:v>
      </x:c>
      <x:c r="J126" s="20" t="n">
        <x:f>IFERROR(D126/C126,0)</x:f>
        <x:v>1</x:v>
      </x:c>
      <x:c r="K126" t="str">
        <x:f>IF(B126&lt;Assumptions!$B$8,"Insufficient",IF(I126&lt;Assumptions!$B$9,"High",IF(I126&lt;Assumptions!$B$10,"Medium","Low")))</x:f>
        <x:v>Medium</x:v>
      </x:c>
      <x:c r="L126" t="n">
        <x:v>0</x:v>
      </x:c>
    </x:row>
    <x:row r="127" ht="18" customHeight="1">
      <x:c r="A127" t="str">
        <x:v>Twitterbeat</x:v>
      </x:c>
      <x:c r="B127" t="n">
        <x:v>13</x:v>
      </x:c>
      <x:c r="C127" t="n">
        <x:v>706</x:v>
      </x:c>
      <x:c r="D127" t="n">
        <x:v>680</x:v>
      </x:c>
      <x:c r="E127" s="22" t="n">
        <x:v>2648.28</x:v>
      </x:c>
      <x:c r="F127" t="n">
        <x:v>12</x:v>
      </x:c>
      <x:c r="G127" t="n">
        <x:v>11</x:v>
      </x:c>
      <x:c r="H127" s="20" t="n">
        <x:f>IFERROR(F127/B127,0)</x:f>
        <x:v>0.9230769230769231</x:v>
      </x:c>
      <x:c r="I127" s="20" t="n">
        <x:f>IFERROR(G127/B127,0)</x:f>
        <x:v>0.8461538461538461</x:v>
      </x:c>
      <x:c r="J127" s="20" t="n">
        <x:f>IFERROR(D127/C127,0)</x:f>
        <x:v>0.9631728045325779</x:v>
      </x:c>
      <x:c r="K127" t="str">
        <x:f>IF(B127&lt;Assumptions!$B$8,"Insufficient",IF(I127&lt;Assumptions!$B$9,"High",IF(I127&lt;Assumptions!$B$10,"Medium","Low")))</x:f>
        <x:v>Medium</x:v>
      </x:c>
      <x:c r="L127" t="n">
        <x:v>0</x:v>
      </x:c>
    </x:row>
    <x:row r="128" ht="18" customHeight="1">
      <x:c r="A128" t="str">
        <x:v>Midel</x:v>
      </x:c>
      <x:c r="B128" t="n">
        <x:v>11</x:v>
      </x:c>
      <x:c r="C128" t="n">
        <x:v>518</x:v>
      </x:c>
      <x:c r="D128" t="n">
        <x:v>504</x:v>
      </x:c>
      <x:c r="E128" s="22" t="n">
        <x:v>2632.18</x:v>
      </x:c>
      <x:c r="F128" t="n">
        <x:v>10</x:v>
      </x:c>
      <x:c r="G128" t="n">
        <x:v>9</x:v>
      </x:c>
      <x:c r="H128" s="20" t="n">
        <x:f>IFERROR(F128/B128,0)</x:f>
        <x:v>0.9090909090909091</x:v>
      </x:c>
      <x:c r="I128" s="20" t="n">
        <x:f>IFERROR(G128/B128,0)</x:f>
        <x:v>0.8181818181818182</x:v>
      </x:c>
      <x:c r="J128" s="20" t="n">
        <x:f>IFERROR(D128/C128,0)</x:f>
        <x:v>0.972972972972973</x:v>
      </x:c>
      <x:c r="K128" t="str">
        <x:f>IF(B128&lt;Assumptions!$B$8,"Insufficient",IF(I128&lt;Assumptions!$B$9,"High",IF(I128&lt;Assumptions!$B$10,"Medium","Low")))</x:f>
        <x:v>Medium</x:v>
      </x:c>
      <x:c r="L128" t="n">
        <x:v>0</x:v>
      </x:c>
    </x:row>
    <x:row r="129" ht="18" customHeight="1">
      <x:c r="A129" t="str">
        <x:v>Babbleopia</x:v>
      </x:c>
      <x:c r="B129" t="n">
        <x:v>7</x:v>
      </x:c>
      <x:c r="C129" t="n">
        <x:v>414</x:v>
      </x:c>
      <x:c r="D129" t="n">
        <x:v>361</x:v>
      </x:c>
      <x:c r="E129" s="22" t="n">
        <x:v>2622.32</x:v>
      </x:c>
      <x:c r="F129" t="n">
        <x:v>2</x:v>
      </x:c>
      <x:c r="G129" t="n">
        <x:v>2</x:v>
      </x:c>
      <x:c r="H129" s="20" t="n">
        <x:f>IFERROR(F129/B129,0)</x:f>
        <x:v>0.2857142857142857</x:v>
      </x:c>
      <x:c r="I129" s="20" t="n">
        <x:f>IFERROR(G129/B129,0)</x:f>
        <x:v>0.2857142857142857</x:v>
      </x:c>
      <x:c r="J129" s="20" t="n">
        <x:f>IFERROR(D129/C129,0)</x:f>
        <x:v>0.8719806763285024</x:v>
      </x:c>
      <x:c r="K129" t="str">
        <x:f>IF(B129&lt;Assumptions!$B$8,"Insufficient",IF(I129&lt;Assumptions!$B$9,"High",IF(I129&lt;Assumptions!$B$10,"Medium","Low")))</x:f>
        <x:v>High</x:v>
      </x:c>
      <x:c r="L129" t="n">
        <x:v>1</x:v>
      </x:c>
    </x:row>
    <x:row r="130" ht="18" customHeight="1">
      <x:c r="A130" t="str">
        <x:v>Jaxnation</x:v>
      </x:c>
      <x:c r="B130" t="n">
        <x:v>10</x:v>
      </x:c>
      <x:c r="C130" t="n">
        <x:v>916</x:v>
      </x:c>
      <x:c r="D130" t="n">
        <x:v>795</x:v>
      </x:c>
      <x:c r="E130" s="22" t="n">
        <x:v>2607.54</x:v>
      </x:c>
      <x:c r="F130" t="n">
        <x:v>8</x:v>
      </x:c>
      <x:c r="G130" t="n">
        <x:v>3</x:v>
      </x:c>
      <x:c r="H130" s="20" t="n">
        <x:f>IFERROR(F130/B130,0)</x:f>
        <x:v>0.8</x:v>
      </x:c>
      <x:c r="I130" s="20" t="n">
        <x:f>IFERROR(G130/B130,0)</x:f>
        <x:v>0.3</x:v>
      </x:c>
      <x:c r="J130" s="20" t="n">
        <x:f>IFERROR(D130/C130,0)</x:f>
        <x:v>0.8679039301310044</x:v>
      </x:c>
      <x:c r="K130" t="str">
        <x:f>IF(B130&lt;Assumptions!$B$8,"Insufficient",IF(I130&lt;Assumptions!$B$9,"High",IF(I130&lt;Assumptions!$B$10,"Medium","Low")))</x:f>
        <x:v>High</x:v>
      </x:c>
      <x:c r="L130" t="n">
        <x:v>0</x:v>
      </x:c>
    </x:row>
    <x:row r="131" ht="18" customHeight="1">
      <x:c r="A131" t="str">
        <x:v>Yodoo</x:v>
      </x:c>
      <x:c r="B131" t="n">
        <x:v>8</x:v>
      </x:c>
      <x:c r="C131" t="n">
        <x:v>645</x:v>
      </x:c>
      <x:c r="D131" t="n">
        <x:v>619</x:v>
      </x:c>
      <x:c r="E131" s="22" t="n">
        <x:v>2531.03</x:v>
      </x:c>
      <x:c r="F131" t="n">
        <x:v>7</x:v>
      </x:c>
      <x:c r="G131" t="n">
        <x:v>5</x:v>
      </x:c>
      <x:c r="H131" s="20" t="n">
        <x:f>IFERROR(F131/B131,0)</x:f>
        <x:v>0.875</x:v>
      </x:c>
      <x:c r="I131" s="20" t="n">
        <x:f>IFERROR(G131/B131,0)</x:f>
        <x:v>0.625</x:v>
      </x:c>
      <x:c r="J131" s="20" t="n">
        <x:f>IFERROR(D131/C131,0)</x:f>
        <x:v>0.9596899224806201</x:v>
      </x:c>
      <x:c r="K131" t="str">
        <x:f>IF(B131&lt;Assumptions!$B$8,"Insufficient",IF(I131&lt;Assumptions!$B$9,"High",IF(I131&lt;Assumptions!$B$10,"Medium","Low")))</x:f>
        <x:v>High</x:v>
      </x:c>
      <x:c r="L131" t="n">
        <x:v>0</x:v>
      </x:c>
    </x:row>
    <x:row r="132" ht="18" customHeight="1">
      <x:c r="A132" t="str">
        <x:v>Skynoodle</x:v>
      </x:c>
      <x:c r="B132" t="n">
        <x:v>11</x:v>
      </x:c>
      <x:c r="C132" t="n">
        <x:v>957</x:v>
      </x:c>
      <x:c r="D132" t="n">
        <x:v>766</x:v>
      </x:c>
      <x:c r="E132" s="22" t="n">
        <x:v>2523.77</x:v>
      </x:c>
      <x:c r="F132" t="n">
        <x:v>7</x:v>
      </x:c>
      <x:c r="G132" t="n">
        <x:v>7</x:v>
      </x:c>
      <x:c r="H132" s="20" t="n">
        <x:f>IFERROR(F132/B132,0)</x:f>
        <x:v>0.6363636363636364</x:v>
      </x:c>
      <x:c r="I132" s="20" t="n">
        <x:f>IFERROR(G132/B132,0)</x:f>
        <x:v>0.6363636363636364</x:v>
      </x:c>
      <x:c r="J132" s="20" t="n">
        <x:f>IFERROR(D132/C132,0)</x:f>
        <x:v>0.800417972831766</x:v>
      </x:c>
      <x:c r="K132" t="str">
        <x:f>IF(B132&lt;Assumptions!$B$8,"Insufficient",IF(I132&lt;Assumptions!$B$9,"High",IF(I132&lt;Assumptions!$B$10,"Medium","Low")))</x:f>
        <x:v>High</x:v>
      </x:c>
      <x:c r="L132" t="n">
        <x:v>2</x:v>
      </x:c>
    </x:row>
    <x:row r="133" ht="18" customHeight="1">
      <x:c r="A133" t="str">
        <x:v>Bubblemix</x:v>
      </x:c>
      <x:c r="B133" t="n">
        <x:v>16</x:v>
      </x:c>
      <x:c r="C133" t="n">
        <x:v>1404</x:v>
      </x:c>
      <x:c r="D133" t="n">
        <x:v>1336</x:v>
      </x:c>
      <x:c r="E133" s="22" t="n">
        <x:v>2519.55</x:v>
      </x:c>
      <x:c r="F133" t="n">
        <x:v>8</x:v>
      </x:c>
      <x:c r="G133" t="n">
        <x:v>7</x:v>
      </x:c>
      <x:c r="H133" s="20" t="n">
        <x:f>IFERROR(F133/B133,0)</x:f>
        <x:v>0.5</x:v>
      </x:c>
      <x:c r="I133" s="20" t="n">
        <x:f>IFERROR(G133/B133,0)</x:f>
        <x:v>0.4375</x:v>
      </x:c>
      <x:c r="J133" s="20" t="n">
        <x:f>IFERROR(D133/C133,0)</x:f>
        <x:v>0.9515669515669516</x:v>
      </x:c>
      <x:c r="K133" t="str">
        <x:f>IF(B133&lt;Assumptions!$B$8,"Insufficient",IF(I133&lt;Assumptions!$B$9,"High",IF(I133&lt;Assumptions!$B$10,"Medium","Low")))</x:f>
        <x:v>High</x:v>
      </x:c>
      <x:c r="L133" t="n">
        <x:v>0</x:v>
      </x:c>
    </x:row>
    <x:row r="134" ht="18" customHeight="1">
      <x:c r="A134" t="str">
        <x:v>Janyx</x:v>
      </x:c>
      <x:c r="B134" t="n">
        <x:v>8</x:v>
      </x:c>
      <x:c r="C134" t="n">
        <x:v>602</x:v>
      </x:c>
      <x:c r="D134" t="n">
        <x:v>559</x:v>
      </x:c>
      <x:c r="E134" s="22" t="n">
        <x:v>2515.49</x:v>
      </x:c>
      <x:c r="F134" t="n">
        <x:v>6</x:v>
      </x:c>
      <x:c r="G134" t="n">
        <x:v>5</x:v>
      </x:c>
      <x:c r="H134" s="20" t="n">
        <x:f>IFERROR(F134/B134,0)</x:f>
        <x:v>0.75</x:v>
      </x:c>
      <x:c r="I134" s="20" t="n">
        <x:f>IFERROR(G134/B134,0)</x:f>
        <x:v>0.625</x:v>
      </x:c>
      <x:c r="J134" s="20" t="n">
        <x:f>IFERROR(D134/C134,0)</x:f>
        <x:v>0.9285714285714286</x:v>
      </x:c>
      <x:c r="K134" t="str">
        <x:f>IF(B134&lt;Assumptions!$B$8,"Insufficient",IF(I134&lt;Assumptions!$B$9,"High",IF(I134&lt;Assumptions!$B$10,"Medium","Low")))</x:f>
        <x:v>High</x:v>
      </x:c>
      <x:c r="L134" t="n">
        <x:v>0</x:v>
      </x:c>
    </x:row>
    <x:row r="135" ht="18" customHeight="1">
      <x:c r="A135" t="str">
        <x:v>Chatterpoint</x:v>
      </x:c>
      <x:c r="B135" t="n">
        <x:v>8</x:v>
      </x:c>
      <x:c r="C135" t="n">
        <x:v>558</x:v>
      </x:c>
      <x:c r="D135" t="n">
        <x:v>548</x:v>
      </x:c>
      <x:c r="E135" s="22" t="n">
        <x:v>2504.07</x:v>
      </x:c>
      <x:c r="F135" t="n">
        <x:v>5</x:v>
      </x:c>
      <x:c r="G135" t="n">
        <x:v>5</x:v>
      </x:c>
      <x:c r="H135" s="20" t="n">
        <x:f>IFERROR(F135/B135,0)</x:f>
        <x:v>0.625</x:v>
      </x:c>
      <x:c r="I135" s="20" t="n">
        <x:f>IFERROR(G135/B135,0)</x:f>
        <x:v>0.625</x:v>
      </x:c>
      <x:c r="J135" s="20" t="n">
        <x:f>IFERROR(D135/C135,0)</x:f>
        <x:v>0.982078853046595</x:v>
      </x:c>
      <x:c r="K135" t="str">
        <x:f>IF(B135&lt;Assumptions!$B$8,"Insufficient",IF(I135&lt;Assumptions!$B$9,"High",IF(I135&lt;Assumptions!$B$10,"Medium","Low")))</x:f>
        <x:v>High</x:v>
      </x:c>
      <x:c r="L135" t="n">
        <x:v>0</x:v>
      </x:c>
    </x:row>
    <x:row r="136" ht="18" customHeight="1">
      <x:c r="A136" t="str">
        <x:v>Demizz</x:v>
      </x:c>
      <x:c r="B136" t="n">
        <x:v>6</x:v>
      </x:c>
      <x:c r="C136" t="n">
        <x:v>531</x:v>
      </x:c>
      <x:c r="D136" t="n">
        <x:v>506</x:v>
      </x:c>
      <x:c r="E136" s="22" t="n">
        <x:v>2450.99</x:v>
      </x:c>
      <x:c r="F136" t="n">
        <x:v>6</x:v>
      </x:c>
      <x:c r="G136" t="n">
        <x:v>4</x:v>
      </x:c>
      <x:c r="H136" s="20" t="n">
        <x:f>IFERROR(F136/B136,0)</x:f>
        <x:v>1</x:v>
      </x:c>
      <x:c r="I136" s="20" t="n">
        <x:f>IFERROR(G136/B136,0)</x:f>
        <x:v>0.6666666666666666</x:v>
      </x:c>
      <x:c r="J136" s="20" t="n">
        <x:f>IFERROR(D136/C136,0)</x:f>
        <x:v>0.9529190207156308</x:v>
      </x:c>
      <x:c r="K136" t="str">
        <x:f>IF(B136&lt;Assumptions!$B$8,"Insufficient",IF(I136&lt;Assumptions!$B$9,"High",IF(I136&lt;Assumptions!$B$10,"Medium","Low")))</x:f>
        <x:v>Medium</x:v>
      </x:c>
      <x:c r="L136" t="n">
        <x:v>0</x:v>
      </x:c>
    </x:row>
    <x:row r="137" ht="18" customHeight="1">
      <x:c r="A137" t="str">
        <x:v>Jabbercube</x:v>
      </x:c>
      <x:c r="B137" t="n">
        <x:v>8</x:v>
      </x:c>
      <x:c r="C137" t="n">
        <x:v>736</x:v>
      </x:c>
      <x:c r="D137" t="n">
        <x:v>637</x:v>
      </x:c>
      <x:c r="E137" s="22" t="n">
        <x:v>2429.21</x:v>
      </x:c>
      <x:c r="F137" t="n">
        <x:v>7</x:v>
      </x:c>
      <x:c r="G137" t="n">
        <x:v>6</x:v>
      </x:c>
      <x:c r="H137" s="20" t="n">
        <x:f>IFERROR(F137/B137,0)</x:f>
        <x:v>0.875</x:v>
      </x:c>
      <x:c r="I137" s="20" t="n">
        <x:f>IFERROR(G137/B137,0)</x:f>
        <x:v>0.75</x:v>
      </x:c>
      <x:c r="J137" s="20" t="n">
        <x:f>IFERROR(D137/C137,0)</x:f>
        <x:v>0.8654891304347826</x:v>
      </x:c>
      <x:c r="K137" t="str">
        <x:f>IF(B137&lt;Assumptions!$B$8,"Insufficient",IF(I137&lt;Assumptions!$B$9,"High",IF(I137&lt;Assumptions!$B$10,"Medium","Low")))</x:f>
        <x:v>Medium</x:v>
      </x:c>
      <x:c r="L137" t="n">
        <x:v>1</x:v>
      </x:c>
    </x:row>
    <x:row r="138" ht="18" customHeight="1">
      <x:c r="A138" t="str">
        <x:v>Jaloo</x:v>
      </x:c>
      <x:c r="B138" t="n">
        <x:v>6</x:v>
      </x:c>
      <x:c r="C138" t="n">
        <x:v>465</x:v>
      </x:c>
      <x:c r="D138" t="n">
        <x:v>465</x:v>
      </x:c>
      <x:c r="E138" s="22" t="n">
        <x:v>2420.58</x:v>
      </x:c>
      <x:c r="F138" t="n">
        <x:v>4</x:v>
      </x:c>
      <x:c r="G138" t="n">
        <x:v>4</x:v>
      </x:c>
      <x:c r="H138" s="20" t="n">
        <x:f>IFERROR(F138/B138,0)</x:f>
        <x:v>0.6666666666666666</x:v>
      </x:c>
      <x:c r="I138" s="20" t="n">
        <x:f>IFERROR(G138/B138,0)</x:f>
        <x:v>0.6666666666666666</x:v>
      </x:c>
      <x:c r="J138" s="20" t="n">
        <x:f>IFERROR(D138/C138,0)</x:f>
        <x:v>1</x:v>
      </x:c>
      <x:c r="K138" t="str">
        <x:f>IF(B138&lt;Assumptions!$B$8,"Insufficient",IF(I138&lt;Assumptions!$B$9,"High",IF(I138&lt;Assumptions!$B$10,"Medium","Low")))</x:f>
        <x:v>Medium</x:v>
      </x:c>
      <x:c r="L138" t="n">
        <x:v>0</x:v>
      </x:c>
    </x:row>
    <x:row r="139" ht="18" customHeight="1">
      <x:c r="A139" t="str">
        <x:v>Rhybox</x:v>
      </x:c>
      <x:c r="B139" t="n">
        <x:v>5</x:v>
      </x:c>
      <x:c r="C139" t="n">
        <x:v>350</x:v>
      </x:c>
      <x:c r="D139" t="n">
        <x:v>295</x:v>
      </x:c>
      <x:c r="E139" s="22" t="n">
        <x:v>2410.65</x:v>
      </x:c>
      <x:c r="F139" t="n">
        <x:v>3</x:v>
      </x:c>
      <x:c r="G139" t="n">
        <x:v>3</x:v>
      </x:c>
      <x:c r="H139" s="20" t="n">
        <x:f>IFERROR(F139/B139,0)</x:f>
        <x:v>0.6</x:v>
      </x:c>
      <x:c r="I139" s="20" t="n">
        <x:f>IFERROR(G139/B139,0)</x:f>
        <x:v>0.6</x:v>
      </x:c>
      <x:c r="J139" s="20" t="n">
        <x:f>IFERROR(D139/C139,0)</x:f>
        <x:v>0.8428571428571429</x:v>
      </x:c>
      <x:c r="K139" t="str">
        <x:f>IF(B139&lt;Assumptions!$B$8,"Insufficient",IF(I139&lt;Assumptions!$B$9,"High",IF(I139&lt;Assumptions!$B$10,"Medium","Low")))</x:f>
        <x:v>High</x:v>
      </x:c>
      <x:c r="L139" t="n">
        <x:v>1</x:v>
      </x:c>
    </x:row>
    <x:row r="140" ht="18" customHeight="1">
      <x:c r="A140" t="str">
        <x:v>Abata</x:v>
      </x:c>
      <x:c r="B140" t="n">
        <x:v>9</x:v>
      </x:c>
      <x:c r="C140" t="n">
        <x:v>370</x:v>
      </x:c>
      <x:c r="D140" t="n">
        <x:v>318</x:v>
      </x:c>
      <x:c r="E140" s="22" t="n">
        <x:v>2388.74</x:v>
      </x:c>
      <x:c r="F140" t="n">
        <x:v>7</x:v>
      </x:c>
      <x:c r="G140" t="n">
        <x:v>7</x:v>
      </x:c>
      <x:c r="H140" s="20" t="n">
        <x:f>IFERROR(F140/B140,0)</x:f>
        <x:v>0.7777777777777778</x:v>
      </x:c>
      <x:c r="I140" s="20" t="n">
        <x:f>IFERROR(G140/B140,0)</x:f>
        <x:v>0.7777777777777778</x:v>
      </x:c>
      <x:c r="J140" s="20" t="n">
        <x:f>IFERROR(D140/C140,0)</x:f>
        <x:v>0.8594594594594595</x:v>
      </x:c>
      <x:c r="K140" t="str">
        <x:f>IF(B140&lt;Assumptions!$B$8,"Insufficient",IF(I140&lt;Assumptions!$B$9,"High",IF(I140&lt;Assumptions!$B$10,"Medium","Low")))</x:f>
        <x:v>Medium</x:v>
      </x:c>
      <x:c r="L140" t="n">
        <x:v>1</x:v>
      </x:c>
    </x:row>
    <x:row r="141" ht="18" customHeight="1">
      <x:c r="A141" t="str">
        <x:v>Kwilith</x:v>
      </x:c>
      <x:c r="B141" t="n">
        <x:v>10</x:v>
      </x:c>
      <x:c r="C141" t="n">
        <x:v>867</x:v>
      </x:c>
      <x:c r="D141" t="n">
        <x:v>867</x:v>
      </x:c>
      <x:c r="E141" s="22" t="n">
        <x:v>2384.86</x:v>
      </x:c>
      <x:c r="F141" t="n">
        <x:v>5</x:v>
      </x:c>
      <x:c r="G141" t="n">
        <x:v>5</x:v>
      </x:c>
      <x:c r="H141" s="20" t="n">
        <x:f>IFERROR(F141/B141,0)</x:f>
        <x:v>0.5</x:v>
      </x:c>
      <x:c r="I141" s="20" t="n">
        <x:f>IFERROR(G141/B141,0)</x:f>
        <x:v>0.5</x:v>
      </x:c>
      <x:c r="J141" s="20" t="n">
        <x:f>IFERROR(D141/C141,0)</x:f>
        <x:v>1</x:v>
      </x:c>
      <x:c r="K141" t="str">
        <x:f>IF(B141&lt;Assumptions!$B$8,"Insufficient",IF(I141&lt;Assumptions!$B$9,"High",IF(I141&lt;Assumptions!$B$10,"Medium","Low")))</x:f>
        <x:v>High</x:v>
      </x:c>
      <x:c r="L141" t="n">
        <x:v>0</x:v>
      </x:c>
    </x:row>
    <x:row r="142" ht="18" customHeight="1">
      <x:c r="A142" t="str">
        <x:v>Plajo</x:v>
      </x:c>
      <x:c r="B142" t="n">
        <x:v>7</x:v>
      </x:c>
      <x:c r="C142" t="n">
        <x:v>561</x:v>
      </x:c>
      <x:c r="D142" t="n">
        <x:v>446</x:v>
      </x:c>
      <x:c r="E142" s="22" t="n">
        <x:v>2346.48</x:v>
      </x:c>
      <x:c r="F142" t="n">
        <x:v>4</x:v>
      </x:c>
      <x:c r="G142" t="n">
        <x:v>4</x:v>
      </x:c>
      <x:c r="H142" s="20" t="n">
        <x:f>IFERROR(F142/B142,0)</x:f>
        <x:v>0.5714285714285714</x:v>
      </x:c>
      <x:c r="I142" s="20" t="n">
        <x:f>IFERROR(G142/B142,0)</x:f>
        <x:v>0.5714285714285714</x:v>
      </x:c>
      <x:c r="J142" s="20" t="n">
        <x:f>IFERROR(D142/C142,0)</x:f>
        <x:v>0.7950089126559715</x:v>
      </x:c>
      <x:c r="K142" t="str">
        <x:f>IF(B142&lt;Assumptions!$B$8,"Insufficient",IF(I142&lt;Assumptions!$B$9,"High",IF(I142&lt;Assumptions!$B$10,"Medium","Low")))</x:f>
        <x:v>High</x:v>
      </x:c>
      <x:c r="L142" t="n">
        <x:v>1</x:v>
      </x:c>
    </x:row>
    <x:row r="143" ht="18" customHeight="1">
      <x:c r="A143" t="str">
        <x:v>Yakitri</x:v>
      </x:c>
      <x:c r="B143" t="n">
        <x:v>10</x:v>
      </x:c>
      <x:c r="C143" t="n">
        <x:v>829</x:v>
      </x:c>
      <x:c r="D143" t="n">
        <x:v>677</x:v>
      </x:c>
      <x:c r="E143" s="22" t="n">
        <x:v>2343.41</x:v>
      </x:c>
      <x:c r="F143" t="n">
        <x:v>7</x:v>
      </x:c>
      <x:c r="G143" t="n">
        <x:v>7</x:v>
      </x:c>
      <x:c r="H143" s="20" t="n">
        <x:f>IFERROR(F143/B143,0)</x:f>
        <x:v>0.7</x:v>
      </x:c>
      <x:c r="I143" s="20" t="n">
        <x:f>IFERROR(G143/B143,0)</x:f>
        <x:v>0.7</x:v>
      </x:c>
      <x:c r="J143" s="20" t="n">
        <x:f>IFERROR(D143/C143,0)</x:f>
        <x:v>0.8166465621230398</x:v>
      </x:c>
      <x:c r="K143" t="str">
        <x:f>IF(B143&lt;Assumptions!$B$8,"Insufficient",IF(I143&lt;Assumptions!$B$9,"High",IF(I143&lt;Assumptions!$B$10,"Medium","Low")))</x:f>
        <x:v>Medium</x:v>
      </x:c>
      <x:c r="L143" t="n">
        <x:v>1</x:v>
      </x:c>
    </x:row>
    <x:row r="144" ht="18" customHeight="1">
      <x:c r="A144" t="str">
        <x:v>Oyoba</x:v>
      </x:c>
      <x:c r="B144" t="n">
        <x:v>4</x:v>
      </x:c>
      <x:c r="C144" t="n">
        <x:v>420</x:v>
      </x:c>
      <x:c r="D144" t="n">
        <x:v>396</x:v>
      </x:c>
      <x:c r="E144" s="22" t="n">
        <x:v>2334.69</x:v>
      </x:c>
      <x:c r="F144" t="n">
        <x:v>3</x:v>
      </x:c>
      <x:c r="G144" t="n">
        <x:v>2</x:v>
      </x:c>
      <x:c r="H144" s="20" t="n">
        <x:f>IFERROR(F144/B144,0)</x:f>
        <x:v>0.75</x:v>
      </x:c>
      <x:c r="I144" s="20" t="n">
        <x:f>IFERROR(G144/B144,0)</x:f>
        <x:v>0.5</x:v>
      </x:c>
      <x:c r="J144" s="20" t="n">
        <x:f>IFERROR(D144/C144,0)</x:f>
        <x:v>0.9428571428571428</x:v>
      </x:c>
      <x:c r="K144" t="str">
        <x:f>IF(B144&lt;Assumptions!$B$8,"Insufficient",IF(I144&lt;Assumptions!$B$9,"High",IF(I144&lt;Assumptions!$B$10,"Medium","Low")))</x:f>
        <x:v>Insufficient</x:v>
      </x:c>
      <x:c r="L144" t="n">
        <x:v>0</x:v>
      </x:c>
    </x:row>
    <x:row r="145" ht="18" customHeight="1">
      <x:c r="A145" t="str">
        <x:v>Demimbu</x:v>
      </x:c>
      <x:c r="B145" t="n">
        <x:v>11</x:v>
      </x:c>
      <x:c r="C145" t="n">
        <x:v>1176</x:v>
      </x:c>
      <x:c r="D145" t="n">
        <x:v>1176</x:v>
      </x:c>
      <x:c r="E145" s="22" t="n">
        <x:v>2321.25</x:v>
      </x:c>
      <x:c r="F145" t="n">
        <x:v>8</x:v>
      </x:c>
      <x:c r="G145" t="n">
        <x:v>8</x:v>
      </x:c>
      <x:c r="H145" s="20" t="n">
        <x:f>IFERROR(F145/B145,0)</x:f>
        <x:v>0.7272727272727273</x:v>
      </x:c>
      <x:c r="I145" s="20" t="n">
        <x:f>IFERROR(G145/B145,0)</x:f>
        <x:v>0.7272727272727273</x:v>
      </x:c>
      <x:c r="J145" s="20" t="n">
        <x:f>IFERROR(D145/C145,0)</x:f>
        <x:v>1</x:v>
      </x:c>
      <x:c r="K145" t="str">
        <x:f>IF(B145&lt;Assumptions!$B$8,"Insufficient",IF(I145&lt;Assumptions!$B$9,"High",IF(I145&lt;Assumptions!$B$10,"Medium","Low")))</x:f>
        <x:v>Medium</x:v>
      </x:c>
      <x:c r="L145" t="n">
        <x:v>0</x:v>
      </x:c>
    </x:row>
    <x:row r="146" ht="18" customHeight="1">
      <x:c r="A146" t="str">
        <x:v>Gabcube</x:v>
      </x:c>
      <x:c r="B146" t="n">
        <x:v>2</x:v>
      </x:c>
      <x:c r="C146" t="n">
        <x:v>319</x:v>
      </x:c>
      <x:c r="D146" t="n">
        <x:v>319</x:v>
      </x:c>
      <x:c r="E146" s="22" t="n">
        <x:v>2313.57</x:v>
      </x:c>
      <x:c r="F146" t="n">
        <x:v>1</x:v>
      </x:c>
      <x:c r="G146" t="n">
        <x:v>1</x:v>
      </x:c>
      <x:c r="H146" s="20" t="n">
        <x:f>IFERROR(F146/B146,0)</x:f>
        <x:v>0.5</x:v>
      </x:c>
      <x:c r="I146" s="20" t="n">
        <x:f>IFERROR(G146/B146,0)</x:f>
        <x:v>0.5</x:v>
      </x:c>
      <x:c r="J146" s="20" t="n">
        <x:f>IFERROR(D146/C146,0)</x:f>
        <x:v>1</x:v>
      </x:c>
      <x:c r="K146" t="str">
        <x:f>IF(B146&lt;Assumptions!$B$8,"Insufficient",IF(I146&lt;Assumptions!$B$9,"High",IF(I146&lt;Assumptions!$B$10,"Medium","Low")))</x:f>
        <x:v>Insufficient</x:v>
      </x:c>
      <x:c r="L146" t="n">
        <x:v>0</x:v>
      </x:c>
    </x:row>
    <x:row r="147" ht="18" customHeight="1">
      <x:c r="A147" t="str">
        <x:v>Jabbertype</x:v>
      </x:c>
      <x:c r="B147" t="n">
        <x:v>8</x:v>
      </x:c>
      <x:c r="C147" t="n">
        <x:v>296</x:v>
      </x:c>
      <x:c r="D147" t="n">
        <x:v>270</x:v>
      </x:c>
      <x:c r="E147" s="22" t="n">
        <x:v>2308.11</x:v>
      </x:c>
      <x:c r="F147" t="n">
        <x:v>8</x:v>
      </x:c>
      <x:c r="G147" t="n">
        <x:v>6</x:v>
      </x:c>
      <x:c r="H147" s="20" t="n">
        <x:f>IFERROR(F147/B147,0)</x:f>
        <x:v>1</x:v>
      </x:c>
      <x:c r="I147" s="20" t="n">
        <x:f>IFERROR(G147/B147,0)</x:f>
        <x:v>0.75</x:v>
      </x:c>
      <x:c r="J147" s="20" t="n">
        <x:f>IFERROR(D147/C147,0)</x:f>
        <x:v>0.9121621621621622</x:v>
      </x:c>
      <x:c r="K147" t="str">
        <x:f>IF(B147&lt;Assumptions!$B$8,"Insufficient",IF(I147&lt;Assumptions!$B$9,"High",IF(I147&lt;Assumptions!$B$10,"Medium","Low")))</x:f>
        <x:v>Medium</x:v>
      </x:c>
      <x:c r="L147" t="n">
        <x:v>0</x:v>
      </x:c>
    </x:row>
    <x:row r="148" ht="18" customHeight="1">
      <x:c r="A148" t="str">
        <x:v>Mybuzz</x:v>
      </x:c>
      <x:c r="B148" t="n">
        <x:v>18</x:v>
      </x:c>
      <x:c r="C148" t="n">
        <x:v>712</x:v>
      </x:c>
      <x:c r="D148" t="n">
        <x:v>688</x:v>
      </x:c>
      <x:c r="E148" s="22" t="n">
        <x:v>2300.87</x:v>
      </x:c>
      <x:c r="F148" t="n">
        <x:v>17</x:v>
      </x:c>
      <x:c r="G148" t="n">
        <x:v>12</x:v>
      </x:c>
      <x:c r="H148" s="20" t="n">
        <x:f>IFERROR(F148/B148,0)</x:f>
        <x:v>0.9444444444444444</x:v>
      </x:c>
      <x:c r="I148" s="20" t="n">
        <x:f>IFERROR(G148/B148,0)</x:f>
        <x:v>0.6666666666666666</x:v>
      </x:c>
      <x:c r="J148" s="20" t="n">
        <x:f>IFERROR(D148/C148,0)</x:f>
        <x:v>0.9662921348314607</x:v>
      </x:c>
      <x:c r="K148" t="str">
        <x:f>IF(B148&lt;Assumptions!$B$8,"Insufficient",IF(I148&lt;Assumptions!$B$9,"High",IF(I148&lt;Assumptions!$B$10,"Medium","Low")))</x:f>
        <x:v>Medium</x:v>
      </x:c>
      <x:c r="L148" t="n">
        <x:v>0</x:v>
      </x:c>
    </x:row>
    <x:row r="149" ht="18" customHeight="1">
      <x:c r="A149" t="str">
        <x:v>Yombu</x:v>
      </x:c>
      <x:c r="B149" t="n">
        <x:v>9</x:v>
      </x:c>
      <x:c r="C149" t="n">
        <x:v>860</x:v>
      </x:c>
      <x:c r="D149" t="n">
        <x:v>750</x:v>
      </x:c>
      <x:c r="E149" s="22" t="n">
        <x:v>2298.51</x:v>
      </x:c>
      <x:c r="F149" t="n">
        <x:v>7</x:v>
      </x:c>
      <x:c r="G149" t="n">
        <x:v>5</x:v>
      </x:c>
      <x:c r="H149" s="20" t="n">
        <x:f>IFERROR(F149/B149,0)</x:f>
        <x:v>0.7777777777777778</x:v>
      </x:c>
      <x:c r="I149" s="20" t="n">
        <x:f>IFERROR(G149/B149,0)</x:f>
        <x:v>0.5555555555555556</x:v>
      </x:c>
      <x:c r="J149" s="20" t="n">
        <x:f>IFERROR(D149/C149,0)</x:f>
        <x:v>0.872093023255814</x:v>
      </x:c>
      <x:c r="K149" t="str">
        <x:f>IF(B149&lt;Assumptions!$B$8,"Insufficient",IF(I149&lt;Assumptions!$B$9,"High",IF(I149&lt;Assumptions!$B$10,"Medium","Low")))</x:f>
        <x:v>High</x:v>
      </x:c>
      <x:c r="L149" t="n">
        <x:v>0</x:v>
      </x:c>
    </x:row>
    <x:row r="150" ht="18" customHeight="1">
      <x:c r="A150" t="str">
        <x:v>Mydeo</x:v>
      </x:c>
      <x:c r="B150" t="n">
        <x:v>10</x:v>
      </x:c>
      <x:c r="C150" t="n">
        <x:v>861</x:v>
      </x:c>
      <x:c r="D150" t="n">
        <x:v>714</x:v>
      </x:c>
      <x:c r="E150" s="22" t="n">
        <x:v>2288.2</x:v>
      </x:c>
      <x:c r="F150" t="n">
        <x:v>4</x:v>
      </x:c>
      <x:c r="G150" t="n">
        <x:v>3</x:v>
      </x:c>
      <x:c r="H150" s="20" t="n">
        <x:f>IFERROR(F150/B150,0)</x:f>
        <x:v>0.4</x:v>
      </x:c>
      <x:c r="I150" s="20" t="n">
        <x:f>IFERROR(G150/B150,0)</x:f>
        <x:v>0.3</x:v>
      </x:c>
      <x:c r="J150" s="20" t="n">
        <x:f>IFERROR(D150/C150,0)</x:f>
        <x:v>0.8292682926829268</x:v>
      </x:c>
      <x:c r="K150" t="str">
        <x:f>IF(B150&lt;Assumptions!$B$8,"Insufficient",IF(I150&lt;Assumptions!$B$9,"High",IF(I150&lt;Assumptions!$B$10,"Medium","Low")))</x:f>
        <x:v>High</x:v>
      </x:c>
      <x:c r="L150" t="n">
        <x:v>1</x:v>
      </x:c>
    </x:row>
    <x:row r="151" ht="18" customHeight="1">
      <x:c r="A151" t="str">
        <x:v>Voonder</x:v>
      </x:c>
      <x:c r="B151" t="n">
        <x:v>11</x:v>
      </x:c>
      <x:c r="C151" t="n">
        <x:v>757</x:v>
      </x:c>
      <x:c r="D151" t="n">
        <x:v>695</x:v>
      </x:c>
      <x:c r="E151" s="22" t="n">
        <x:v>2264.96</x:v>
      </x:c>
      <x:c r="F151" t="n">
        <x:v>7</x:v>
      </x:c>
      <x:c r="G151" t="n">
        <x:v>5</x:v>
      </x:c>
      <x:c r="H151" s="20" t="n">
        <x:f>IFERROR(F151/B151,0)</x:f>
        <x:v>0.6363636363636364</x:v>
      </x:c>
      <x:c r="I151" s="20" t="n">
        <x:f>IFERROR(G151/B151,0)</x:f>
        <x:v>0.45454545454545453</x:v>
      </x:c>
      <x:c r="J151" s="20" t="n">
        <x:f>IFERROR(D151/C151,0)</x:f>
        <x:v>0.9180977542932629</x:v>
      </x:c>
      <x:c r="K151" t="str">
        <x:f>IF(B151&lt;Assumptions!$B$8,"Insufficient",IF(I151&lt;Assumptions!$B$9,"High",IF(I151&lt;Assumptions!$B$10,"Medium","Low")))</x:f>
        <x:v>High</x:v>
      </x:c>
      <x:c r="L151" t="n">
        <x:v>0</x:v>
      </x:c>
    </x:row>
    <x:row r="152" ht="18" customHeight="1">
      <x:c r="A152" t="str">
        <x:v>Geba</x:v>
      </x:c>
      <x:c r="B152" t="n">
        <x:v>13</x:v>
      </x:c>
      <x:c r="C152" t="n">
        <x:v>618</x:v>
      </x:c>
      <x:c r="D152" t="n">
        <x:v>579</x:v>
      </x:c>
      <x:c r="E152" s="22" t="n">
        <x:v>2230.22</x:v>
      </x:c>
      <x:c r="F152" t="n">
        <x:v>10</x:v>
      </x:c>
      <x:c r="G152" t="n">
        <x:v>5</x:v>
      </x:c>
      <x:c r="H152" s="20" t="n">
        <x:f>IFERROR(F152/B152,0)</x:f>
        <x:v>0.7692307692307693</x:v>
      </x:c>
      <x:c r="I152" s="20" t="n">
        <x:f>IFERROR(G152/B152,0)</x:f>
        <x:v>0.38461538461538464</x:v>
      </x:c>
      <x:c r="J152" s="20" t="n">
        <x:f>IFERROR(D152/C152,0)</x:f>
        <x:v>0.9368932038834952</x:v>
      </x:c>
      <x:c r="K152" t="str">
        <x:f>IF(B152&lt;Assumptions!$B$8,"Insufficient",IF(I152&lt;Assumptions!$B$9,"High",IF(I152&lt;Assumptions!$B$10,"Medium","Low")))</x:f>
        <x:v>High</x:v>
      </x:c>
      <x:c r="L152" t="n">
        <x:v>0</x:v>
      </x:c>
    </x:row>
    <x:row r="153" ht="18" customHeight="1">
      <x:c r="A153" t="str">
        <x:v>Agivu</x:v>
      </x:c>
      <x:c r="B153" t="n">
        <x:v>3</x:v>
      </x:c>
      <x:c r="C153" t="n">
        <x:v>103</x:v>
      </x:c>
      <x:c r="D153" t="n">
        <x:v>76</x:v>
      </x:c>
      <x:c r="E153" s="22" t="n">
        <x:v>2225.77</x:v>
      </x:c>
      <x:c r="F153" t="n">
        <x:v>2</x:v>
      </x:c>
      <x:c r="G153" t="n">
        <x:v>2</x:v>
      </x:c>
      <x:c r="H153" s="20" t="n">
        <x:f>IFERROR(F153/B153,0)</x:f>
        <x:v>0.6666666666666666</x:v>
      </x:c>
      <x:c r="I153" s="20" t="n">
        <x:f>IFERROR(G153/B153,0)</x:f>
        <x:v>0.6666666666666666</x:v>
      </x:c>
      <x:c r="J153" s="20" t="n">
        <x:f>IFERROR(D153/C153,0)</x:f>
        <x:v>0.7378640776699029</x:v>
      </x:c>
      <x:c r="K153" t="str">
        <x:f>IF(B153&lt;Assumptions!$B$8,"Insufficient",IF(I153&lt;Assumptions!$B$9,"High",IF(I153&lt;Assumptions!$B$10,"Medium","Low")))</x:f>
        <x:v>Insufficient</x:v>
      </x:c>
      <x:c r="L153" t="n">
        <x:v>1</x:v>
      </x:c>
    </x:row>
    <x:row r="154" ht="18" customHeight="1">
      <x:c r="A154" t="str">
        <x:v>Buzzshare</x:v>
      </x:c>
      <x:c r="B154" t="n">
        <x:v>14</x:v>
      </x:c>
      <x:c r="C154" t="n">
        <x:v>774</x:v>
      </x:c>
      <x:c r="D154" t="n">
        <x:v>714</x:v>
      </x:c>
      <x:c r="E154" s="22" t="n">
        <x:v>2214.94</x:v>
      </x:c>
      <x:c r="F154" t="n">
        <x:v>7</x:v>
      </x:c>
      <x:c r="G154" t="n">
        <x:v>6</x:v>
      </x:c>
      <x:c r="H154" s="20" t="n">
        <x:f>IFERROR(F154/B154,0)</x:f>
        <x:v>0.5</x:v>
      </x:c>
      <x:c r="I154" s="20" t="n">
        <x:f>IFERROR(G154/B154,0)</x:f>
        <x:v>0.42857142857142855</x:v>
      </x:c>
      <x:c r="J154" s="20" t="n">
        <x:f>IFERROR(D154/C154,0)</x:f>
        <x:v>0.9224806201550387</x:v>
      </x:c>
      <x:c r="K154" t="str">
        <x:f>IF(B154&lt;Assumptions!$B$8,"Insufficient",IF(I154&lt;Assumptions!$B$9,"High",IF(I154&lt;Assumptions!$B$10,"Medium","Low")))</x:f>
        <x:v>High</x:v>
      </x:c>
      <x:c r="L154" t="n">
        <x:v>1</x:v>
      </x:c>
    </x:row>
    <x:row r="155" ht="18" customHeight="1">
      <x:c r="A155" t="str">
        <x:v>DabZ</x:v>
      </x:c>
      <x:c r="B155" t="n">
        <x:v>7</x:v>
      </x:c>
      <x:c r="C155" t="n">
        <x:v>657</x:v>
      </x:c>
      <x:c r="D155" t="n">
        <x:v>620</x:v>
      </x:c>
      <x:c r="E155" s="22" t="n">
        <x:v>2193.68</x:v>
      </x:c>
      <x:c r="F155" t="n">
        <x:v>4</x:v>
      </x:c>
      <x:c r="G155" t="n">
        <x:v>3</x:v>
      </x:c>
      <x:c r="H155" s="20" t="n">
        <x:f>IFERROR(F155/B155,0)</x:f>
        <x:v>0.5714285714285714</x:v>
      </x:c>
      <x:c r="I155" s="20" t="n">
        <x:f>IFERROR(G155/B155,0)</x:f>
        <x:v>0.42857142857142855</x:v>
      </x:c>
      <x:c r="J155" s="20" t="n">
        <x:f>IFERROR(D155/C155,0)</x:f>
        <x:v>0.943683409436834</x:v>
      </x:c>
      <x:c r="K155" t="str">
        <x:f>IF(B155&lt;Assumptions!$B$8,"Insufficient",IF(I155&lt;Assumptions!$B$9,"High",IF(I155&lt;Assumptions!$B$10,"Medium","Low")))</x:f>
        <x:v>High</x:v>
      </x:c>
      <x:c r="L155" t="n">
        <x:v>0</x:v>
      </x:c>
    </x:row>
    <x:row r="156" ht="18" customHeight="1">
      <x:c r="A156" t="str">
        <x:v>Ozu</x:v>
      </x:c>
      <x:c r="B156" t="n">
        <x:v>12</x:v>
      </x:c>
      <x:c r="C156" t="n">
        <x:v>641</x:v>
      </x:c>
      <x:c r="D156" t="n">
        <x:v>536</x:v>
      </x:c>
      <x:c r="E156" s="22" t="n">
        <x:v>2188.89</x:v>
      </x:c>
      <x:c r="F156" t="n">
        <x:v>9</x:v>
      </x:c>
      <x:c r="G156" t="n">
        <x:v>9</x:v>
      </x:c>
      <x:c r="H156" s="20" t="n">
        <x:f>IFERROR(F156/B156,0)</x:f>
        <x:v>0.75</x:v>
      </x:c>
      <x:c r="I156" s="20" t="n">
        <x:f>IFERROR(G156/B156,0)</x:f>
        <x:v>0.75</x:v>
      </x:c>
      <x:c r="J156" s="20" t="n">
        <x:f>IFERROR(D156/C156,0)</x:f>
        <x:v>0.8361934477379095</x:v>
      </x:c>
      <x:c r="K156" t="str">
        <x:f>IF(B156&lt;Assumptions!$B$8,"Insufficient",IF(I156&lt;Assumptions!$B$9,"High",IF(I156&lt;Assumptions!$B$10,"Medium","Low")))</x:f>
        <x:v>Medium</x:v>
      </x:c>
      <x:c r="L156" t="n">
        <x:v>2</x:v>
      </x:c>
    </x:row>
    <x:row r="157" ht="18" customHeight="1">
      <x:c r="A157" t="str">
        <x:v>Zazio</x:v>
      </x:c>
      <x:c r="B157" t="n">
        <x:v>5</x:v>
      </x:c>
      <x:c r="C157" t="n">
        <x:v>277</x:v>
      </x:c>
      <x:c r="D157" t="n">
        <x:v>277</x:v>
      </x:c>
      <x:c r="E157" s="22" t="n">
        <x:v>2183.07</x:v>
      </x:c>
      <x:c r="F157" t="n">
        <x:v>3</x:v>
      </x:c>
      <x:c r="G157" t="n">
        <x:v>3</x:v>
      </x:c>
      <x:c r="H157" s="20" t="n">
        <x:f>IFERROR(F157/B157,0)</x:f>
        <x:v>0.6</x:v>
      </x:c>
      <x:c r="I157" s="20" t="n">
        <x:f>IFERROR(G157/B157,0)</x:f>
        <x:v>0.6</x:v>
      </x:c>
      <x:c r="J157" s="20" t="n">
        <x:f>IFERROR(D157/C157,0)</x:f>
        <x:v>1</x:v>
      </x:c>
      <x:c r="K157" t="str">
        <x:f>IF(B157&lt;Assumptions!$B$8,"Insufficient",IF(I157&lt;Assumptions!$B$9,"High",IF(I157&lt;Assumptions!$B$10,"Medium","Low")))</x:f>
        <x:v>High</x:v>
      </x:c>
      <x:c r="L157" t="n">
        <x:v>0</x:v>
      </x:c>
    </x:row>
    <x:row r="158" ht="18" customHeight="1">
      <x:c r="A158" t="str">
        <x:v>Tagopia</x:v>
      </x:c>
      <x:c r="B158" t="n">
        <x:v>11</x:v>
      </x:c>
      <x:c r="C158" t="n">
        <x:v>718</x:v>
      </x:c>
      <x:c r="D158" t="n">
        <x:v>702</x:v>
      </x:c>
      <x:c r="E158" s="22" t="n">
        <x:v>2174.79</x:v>
      </x:c>
      <x:c r="F158" t="n">
        <x:v>7</x:v>
      </x:c>
      <x:c r="G158" t="n">
        <x:v>6</x:v>
      </x:c>
      <x:c r="H158" s="20" t="n">
        <x:f>IFERROR(F158/B158,0)</x:f>
        <x:v>0.6363636363636364</x:v>
      </x:c>
      <x:c r="I158" s="20" t="n">
        <x:f>IFERROR(G158/B158,0)</x:f>
        <x:v>0.5454545454545454</x:v>
      </x:c>
      <x:c r="J158" s="20" t="n">
        <x:f>IFERROR(D158/C158,0)</x:f>
        <x:v>0.9777158774373259</x:v>
      </x:c>
      <x:c r="K158" t="str">
        <x:f>IF(B158&lt;Assumptions!$B$8,"Insufficient",IF(I158&lt;Assumptions!$B$9,"High",IF(I158&lt;Assumptions!$B$10,"Medium","Low")))</x:f>
        <x:v>High</x:v>
      </x:c>
      <x:c r="L158" t="n">
        <x:v>0</x:v>
      </x:c>
    </x:row>
    <x:row r="159" ht="18" customHeight="1">
      <x:c r="A159" t="str">
        <x:v>Flipopia</x:v>
      </x:c>
      <x:c r="B159" t="n">
        <x:v>17</x:v>
      </x:c>
      <x:c r="C159" t="n">
        <x:v>933</x:v>
      </x:c>
      <x:c r="D159" t="n">
        <x:v>913</x:v>
      </x:c>
      <x:c r="E159" s="22" t="n">
        <x:v>2163.12</x:v>
      </x:c>
      <x:c r="F159" t="n">
        <x:v>9</x:v>
      </x:c>
      <x:c r="G159" t="n">
        <x:v>7</x:v>
      </x:c>
      <x:c r="H159" s="20" t="n">
        <x:f>IFERROR(F159/B159,0)</x:f>
        <x:v>0.5294117647058824</x:v>
      </x:c>
      <x:c r="I159" s="20" t="n">
        <x:f>IFERROR(G159/B159,0)</x:f>
        <x:v>0.4117647058823529</x:v>
      </x:c>
      <x:c r="J159" s="20" t="n">
        <x:f>IFERROR(D159/C159,0)</x:f>
        <x:v>0.9785637727759914</x:v>
      </x:c>
      <x:c r="K159" t="str">
        <x:f>IF(B159&lt;Assumptions!$B$8,"Insufficient",IF(I159&lt;Assumptions!$B$9,"High",IF(I159&lt;Assumptions!$B$10,"Medium","Low")))</x:f>
        <x:v>High</x:v>
      </x:c>
      <x:c r="L159" t="n">
        <x:v>0</x:v>
      </x:c>
    </x:row>
    <x:row r="160" ht="18" customHeight="1">
      <x:c r="A160" t="str">
        <x:v>Eadel</x:v>
      </x:c>
      <x:c r="B160" t="n">
        <x:v>6</x:v>
      </x:c>
      <x:c r="C160" t="n">
        <x:v>690</x:v>
      </x:c>
      <x:c r="D160" t="n">
        <x:v>690</x:v>
      </x:c>
      <x:c r="E160" s="22" t="n">
        <x:v>2156.63</x:v>
      </x:c>
      <x:c r="F160" t="n">
        <x:v>5</x:v>
      </x:c>
      <x:c r="G160" t="n">
        <x:v>5</x:v>
      </x:c>
      <x:c r="H160" s="20" t="n">
        <x:f>IFERROR(F160/B160,0)</x:f>
        <x:v>0.8333333333333334</x:v>
      </x:c>
      <x:c r="I160" s="20" t="n">
        <x:f>IFERROR(G160/B160,0)</x:f>
        <x:v>0.8333333333333334</x:v>
      </x:c>
      <x:c r="J160" s="20" t="n">
        <x:f>IFERROR(D160/C160,0)</x:f>
        <x:v>1</x:v>
      </x:c>
      <x:c r="K160" t="str">
        <x:f>IF(B160&lt;Assumptions!$B$8,"Insufficient",IF(I160&lt;Assumptions!$B$9,"High",IF(I160&lt;Assumptions!$B$10,"Medium","Low")))</x:f>
        <x:v>Medium</x:v>
      </x:c>
      <x:c r="L160" t="n">
        <x:v>0</x:v>
      </x:c>
    </x:row>
    <x:row r="161" ht="18" customHeight="1">
      <x:c r="A161" t="str">
        <x:v>Abatz</x:v>
      </x:c>
      <x:c r="B161" t="n">
        <x:v>11</x:v>
      </x:c>
      <x:c r="C161" t="n">
        <x:v>1110</x:v>
      </x:c>
      <x:c r="D161" t="n">
        <x:v>1031</x:v>
      </x:c>
      <x:c r="E161" s="22" t="n">
        <x:v>2144.3</x:v>
      </x:c>
      <x:c r="F161" t="n">
        <x:v>8</x:v>
      </x:c>
      <x:c r="G161" t="n">
        <x:v>6</x:v>
      </x:c>
      <x:c r="H161" s="20" t="n">
        <x:f>IFERROR(F161/B161,0)</x:f>
        <x:v>0.7272727272727273</x:v>
      </x:c>
      <x:c r="I161" s="20" t="n">
        <x:f>IFERROR(G161/B161,0)</x:f>
        <x:v>0.5454545454545454</x:v>
      </x:c>
      <x:c r="J161" s="20" t="n">
        <x:f>IFERROR(D161/C161,0)</x:f>
        <x:v>0.9288288288288288</x:v>
      </x:c>
      <x:c r="K161" t="str">
        <x:f>IF(B161&lt;Assumptions!$B$8,"Insufficient",IF(I161&lt;Assumptions!$B$9,"High",IF(I161&lt;Assumptions!$B$10,"Medium","Low")))</x:f>
        <x:v>High</x:v>
      </x:c>
      <x:c r="L161" t="n">
        <x:v>0</x:v>
      </x:c>
    </x:row>
    <x:row r="162" ht="18" customHeight="1">
      <x:c r="A162" t="str">
        <x:v>Yamia</x:v>
      </x:c>
      <x:c r="B162" t="n">
        <x:v>10</x:v>
      </x:c>
      <x:c r="C162" t="n">
        <x:v>624</x:v>
      </x:c>
      <x:c r="D162" t="n">
        <x:v>539</x:v>
      </x:c>
      <x:c r="E162" s="22" t="n">
        <x:v>2139.16</x:v>
      </x:c>
      <x:c r="F162" t="n">
        <x:v>9</x:v>
      </x:c>
      <x:c r="G162" t="n">
        <x:v>5</x:v>
      </x:c>
      <x:c r="H162" s="20" t="n">
        <x:f>IFERROR(F162/B162,0)</x:f>
        <x:v>0.9</x:v>
      </x:c>
      <x:c r="I162" s="20" t="n">
        <x:f>IFERROR(G162/B162,0)</x:f>
        <x:v>0.5</x:v>
      </x:c>
      <x:c r="J162" s="20" t="n">
        <x:f>IFERROR(D162/C162,0)</x:f>
        <x:v>0.8637820512820513</x:v>
      </x:c>
      <x:c r="K162" t="str">
        <x:f>IF(B162&lt;Assumptions!$B$8,"Insufficient",IF(I162&lt;Assumptions!$B$9,"High",IF(I162&lt;Assumptions!$B$10,"Medium","Low")))</x:f>
        <x:v>High</x:v>
      </x:c>
      <x:c r="L162" t="n">
        <x:v>0</x:v>
      </x:c>
    </x:row>
    <x:row r="163" ht="18" customHeight="1">
      <x:c r="A163" t="str">
        <x:v>Aivee</x:v>
      </x:c>
      <x:c r="B163" t="n">
        <x:v>8</x:v>
      </x:c>
      <x:c r="C163" t="n">
        <x:v>702</x:v>
      </x:c>
      <x:c r="D163" t="n">
        <x:v>631</x:v>
      </x:c>
      <x:c r="E163" s="22" t="n">
        <x:v>2110.12</x:v>
      </x:c>
      <x:c r="F163" t="n">
        <x:v>7</x:v>
      </x:c>
      <x:c r="G163" t="n">
        <x:v>6</x:v>
      </x:c>
      <x:c r="H163" s="20" t="n">
        <x:f>IFERROR(F163/B163,0)</x:f>
        <x:v>0.875</x:v>
      </x:c>
      <x:c r="I163" s="20" t="n">
        <x:f>IFERROR(G163/B163,0)</x:f>
        <x:v>0.75</x:v>
      </x:c>
      <x:c r="J163" s="20" t="n">
        <x:f>IFERROR(D163/C163,0)</x:f>
        <x:v>0.8988603988603988</x:v>
      </x:c>
      <x:c r="K163" t="str">
        <x:f>IF(B163&lt;Assumptions!$B$8,"Insufficient",IF(I163&lt;Assumptions!$B$9,"High",IF(I163&lt;Assumptions!$B$10,"Medium","Low")))</x:f>
        <x:v>Medium</x:v>
      </x:c>
      <x:c r="L163" t="n">
        <x:v>0</x:v>
      </x:c>
    </x:row>
    <x:row r="164" ht="18" customHeight="1">
      <x:c r="A164" t="str">
        <x:v>Voolia</x:v>
      </x:c>
      <x:c r="B164" t="n">
        <x:v>8</x:v>
      </x:c>
      <x:c r="C164" t="n">
        <x:v>720</x:v>
      </x:c>
      <x:c r="D164" t="n">
        <x:v>720</x:v>
      </x:c>
      <x:c r="E164" s="22" t="n">
        <x:v>2107.22</x:v>
      </x:c>
      <x:c r="F164" t="n">
        <x:v>6</x:v>
      </x:c>
      <x:c r="G164" t="n">
        <x:v>6</x:v>
      </x:c>
      <x:c r="H164" s="20" t="n">
        <x:f>IFERROR(F164/B164,0)</x:f>
        <x:v>0.75</x:v>
      </x:c>
      <x:c r="I164" s="20" t="n">
        <x:f>IFERROR(G164/B164,0)</x:f>
        <x:v>0.75</x:v>
      </x:c>
      <x:c r="J164" s="20" t="n">
        <x:f>IFERROR(D164/C164,0)</x:f>
        <x:v>1</x:v>
      </x:c>
      <x:c r="K164" t="str">
        <x:f>IF(B164&lt;Assumptions!$B$8,"Insufficient",IF(I164&lt;Assumptions!$B$9,"High",IF(I164&lt;Assumptions!$B$10,"Medium","Low")))</x:f>
        <x:v>Medium</x:v>
      </x:c>
      <x:c r="L164" t="n">
        <x:v>0</x:v>
      </x:c>
    </x:row>
    <x:row r="165" ht="18" customHeight="1">
      <x:c r="A165" t="str">
        <x:v>Jaxworks</x:v>
      </x:c>
      <x:c r="B165" t="n">
        <x:v>7</x:v>
      </x:c>
      <x:c r="C165" t="n">
        <x:v>786</x:v>
      </x:c>
      <x:c r="D165" t="n">
        <x:v>686</x:v>
      </x:c>
      <x:c r="E165" s="22" t="n">
        <x:v>2093.47</x:v>
      </x:c>
      <x:c r="F165" t="n">
        <x:v>3</x:v>
      </x:c>
      <x:c r="G165" t="n">
        <x:v>1</x:v>
      </x:c>
      <x:c r="H165" s="20" t="n">
        <x:f>IFERROR(F165/B165,0)</x:f>
        <x:v>0.42857142857142855</x:v>
      </x:c>
      <x:c r="I165" s="20" t="n">
        <x:f>IFERROR(G165/B165,0)</x:f>
        <x:v>0.14285714285714285</x:v>
      </x:c>
      <x:c r="J165" s="20" t="n">
        <x:f>IFERROR(D165/C165,0)</x:f>
        <x:v>0.8727735368956743</x:v>
      </x:c>
      <x:c r="K165" t="str">
        <x:f>IF(B165&lt;Assumptions!$B$8,"Insufficient",IF(I165&lt;Assumptions!$B$9,"High",IF(I165&lt;Assumptions!$B$10,"Medium","Low")))</x:f>
        <x:v>High</x:v>
      </x:c>
      <x:c r="L165" t="n">
        <x:v>1</x:v>
      </x:c>
    </x:row>
    <x:row r="166" ht="18" customHeight="1">
      <x:c r="A166" t="str">
        <x:v>Bluezoom</x:v>
      </x:c>
      <x:c r="B166" t="n">
        <x:v>10</x:v>
      </x:c>
      <x:c r="C166" t="n">
        <x:v>699</x:v>
      </x:c>
      <x:c r="D166" t="n">
        <x:v>437</x:v>
      </x:c>
      <x:c r="E166" s="22" t="n">
        <x:v>2089.81</x:v>
      </x:c>
      <x:c r="F166" t="n">
        <x:v>4</x:v>
      </x:c>
      <x:c r="G166" t="n">
        <x:v>2</x:v>
      </x:c>
      <x:c r="H166" s="20" t="n">
        <x:f>IFERROR(F166/B166,0)</x:f>
        <x:v>0.4</x:v>
      </x:c>
      <x:c r="I166" s="20" t="n">
        <x:f>IFERROR(G166/B166,0)</x:f>
        <x:v>0.2</x:v>
      </x:c>
      <x:c r="J166" s="20" t="n">
        <x:f>IFERROR(D166/C166,0)</x:f>
        <x:v>0.6251788268955651</x:v>
      </x:c>
      <x:c r="K166" t="str">
        <x:f>IF(B166&lt;Assumptions!$B$8,"Insufficient",IF(I166&lt;Assumptions!$B$9,"High",IF(I166&lt;Assumptions!$B$10,"Medium","Low")))</x:f>
        <x:v>High</x:v>
      </x:c>
      <x:c r="L166" t="n">
        <x:v>3</x:v>
      </x:c>
    </x:row>
    <x:row r="167" ht="18" customHeight="1">
      <x:c r="A167" t="str">
        <x:v>Meembee</x:v>
      </x:c>
      <x:c r="B167" t="n">
        <x:v>9</x:v>
      </x:c>
      <x:c r="C167" t="n">
        <x:v>625</x:v>
      </x:c>
      <x:c r="D167" t="n">
        <x:v>625</x:v>
      </x:c>
      <x:c r="E167" s="22" t="n">
        <x:v>2064.94</x:v>
      </x:c>
      <x:c r="F167" t="n">
        <x:v>7</x:v>
      </x:c>
      <x:c r="G167" t="n">
        <x:v>7</x:v>
      </x:c>
      <x:c r="H167" s="20" t="n">
        <x:f>IFERROR(F167/B167,0)</x:f>
        <x:v>0.7777777777777778</x:v>
      </x:c>
      <x:c r="I167" s="20" t="n">
        <x:f>IFERROR(G167/B167,0)</x:f>
        <x:v>0.7777777777777778</x:v>
      </x:c>
      <x:c r="J167" s="20" t="n">
        <x:f>IFERROR(D167/C167,0)</x:f>
        <x:v>1</x:v>
      </x:c>
      <x:c r="K167" t="str">
        <x:f>IF(B167&lt;Assumptions!$B$8,"Insufficient",IF(I167&lt;Assumptions!$B$9,"High",IF(I167&lt;Assumptions!$B$10,"Medium","Low")))</x:f>
        <x:v>Medium</x:v>
      </x:c>
      <x:c r="L167" t="n">
        <x:v>0</x:v>
      </x:c>
    </x:row>
    <x:row r="168" ht="18" customHeight="1">
      <x:c r="A168" t="str">
        <x:v>Yabox</x:v>
      </x:c>
      <x:c r="B168" t="n">
        <x:v>7</x:v>
      </x:c>
      <x:c r="C168" t="n">
        <x:v>418</x:v>
      </x:c>
      <x:c r="D168" t="n">
        <x:v>418</x:v>
      </x:c>
      <x:c r="E168" s="22" t="n">
        <x:v>2055.08</x:v>
      </x:c>
      <x:c r="F168" t="n">
        <x:v>6</x:v>
      </x:c>
      <x:c r="G168" t="n">
        <x:v>6</x:v>
      </x:c>
      <x:c r="H168" s="20" t="n">
        <x:f>IFERROR(F168/B168,0)</x:f>
        <x:v>0.8571428571428571</x:v>
      </x:c>
      <x:c r="I168" s="20" t="n">
        <x:f>IFERROR(G168/B168,0)</x:f>
        <x:v>0.8571428571428571</x:v>
      </x:c>
      <x:c r="J168" s="20" t="n">
        <x:f>IFERROR(D168/C168,0)</x:f>
        <x:v>1</x:v>
      </x:c>
      <x:c r="K168" t="str">
        <x:f>IF(B168&lt;Assumptions!$B$8,"Insufficient",IF(I168&lt;Assumptions!$B$9,"High",IF(I168&lt;Assumptions!$B$10,"Medium","Low")))</x:f>
        <x:v>Low</x:v>
      </x:c>
      <x:c r="L168" t="n">
        <x:v>0</x:v>
      </x:c>
    </x:row>
    <x:row r="169" ht="18" customHeight="1">
      <x:c r="A169" t="str">
        <x:v>Jatri</x:v>
      </x:c>
      <x:c r="B169" t="n">
        <x:v>7</x:v>
      </x:c>
      <x:c r="C169" t="n">
        <x:v>560</x:v>
      </x:c>
      <x:c r="D169" t="n">
        <x:v>560</x:v>
      </x:c>
      <x:c r="E169" s="22" t="n">
        <x:v>2049.68</x:v>
      </x:c>
      <x:c r="F169" t="n">
        <x:v>3</x:v>
      </x:c>
      <x:c r="G169" t="n">
        <x:v>3</x:v>
      </x:c>
      <x:c r="H169" s="20" t="n">
        <x:f>IFERROR(F169/B169,0)</x:f>
        <x:v>0.42857142857142855</x:v>
      </x:c>
      <x:c r="I169" s="20" t="n">
        <x:f>IFERROR(G169/B169,0)</x:f>
        <x:v>0.42857142857142855</x:v>
      </x:c>
      <x:c r="J169" s="20" t="n">
        <x:f>IFERROR(D169/C169,0)</x:f>
        <x:v>1</x:v>
      </x:c>
      <x:c r="K169" t="str">
        <x:f>IF(B169&lt;Assumptions!$B$8,"Insufficient",IF(I169&lt;Assumptions!$B$9,"High",IF(I169&lt;Assumptions!$B$10,"Medium","Low")))</x:f>
        <x:v>High</x:v>
      </x:c>
      <x:c r="L169" t="n">
        <x:v>0</x:v>
      </x:c>
    </x:row>
    <x:row r="170" ht="18" customHeight="1">
      <x:c r="A170" t="str">
        <x:v>Yadel</x:v>
      </x:c>
      <x:c r="B170" t="n">
        <x:v>9</x:v>
      </x:c>
      <x:c r="C170" t="n">
        <x:v>321</x:v>
      </x:c>
      <x:c r="D170" t="n">
        <x:v>314</x:v>
      </x:c>
      <x:c r="E170" s="22" t="n">
        <x:v>2025.32</x:v>
      </x:c>
      <x:c r="F170" t="n">
        <x:v>6</x:v>
      </x:c>
      <x:c r="G170" t="n">
        <x:v>5</x:v>
      </x:c>
      <x:c r="H170" s="20" t="n">
        <x:f>IFERROR(F170/B170,0)</x:f>
        <x:v>0.6666666666666666</x:v>
      </x:c>
      <x:c r="I170" s="20" t="n">
        <x:f>IFERROR(G170/B170,0)</x:f>
        <x:v>0.5555555555555556</x:v>
      </x:c>
      <x:c r="J170" s="20" t="n">
        <x:f>IFERROR(D170/C170,0)</x:f>
        <x:v>0.9781931464174455</x:v>
      </x:c>
      <x:c r="K170" t="str">
        <x:f>IF(B170&lt;Assumptions!$B$8,"Insufficient",IF(I170&lt;Assumptions!$B$9,"High",IF(I170&lt;Assumptions!$B$10,"Medium","Low")))</x:f>
        <x:v>High</x:v>
      </x:c>
      <x:c r="L170" t="n">
        <x:v>0</x:v>
      </x:c>
    </x:row>
    <x:row r="171" ht="18" customHeight="1">
      <x:c r="A171" t="str">
        <x:v>Riffwire</x:v>
      </x:c>
      <x:c r="B171" t="n">
        <x:v>8</x:v>
      </x:c>
      <x:c r="C171" t="n">
        <x:v>501</x:v>
      </x:c>
      <x:c r="D171" t="n">
        <x:v>472</x:v>
      </x:c>
      <x:c r="E171" s="22" t="n">
        <x:v>2019.28</x:v>
      </x:c>
      <x:c r="F171" t="n">
        <x:v>3</x:v>
      </x:c>
      <x:c r="G171" t="n">
        <x:v>3</x:v>
      </x:c>
      <x:c r="H171" s="20" t="n">
        <x:f>IFERROR(F171/B171,0)</x:f>
        <x:v>0.375</x:v>
      </x:c>
      <x:c r="I171" s="20" t="n">
        <x:f>IFERROR(G171/B171,0)</x:f>
        <x:v>0.375</x:v>
      </x:c>
      <x:c r="J171" s="20" t="n">
        <x:f>IFERROR(D171/C171,0)</x:f>
        <x:v>0.9421157684630739</x:v>
      </x:c>
      <x:c r="K171" t="str">
        <x:f>IF(B171&lt;Assumptions!$B$8,"Insufficient",IF(I171&lt;Assumptions!$B$9,"High",IF(I171&lt;Assumptions!$B$10,"Medium","Low")))</x:f>
        <x:v>High</x:v>
      </x:c>
      <x:c r="L171" t="n">
        <x:v>1</x:v>
      </x:c>
    </x:row>
    <x:row r="172" ht="18" customHeight="1">
      <x:c r="A172" t="str">
        <x:v>Eayo</x:v>
      </x:c>
      <x:c r="B172" t="n">
        <x:v>5</x:v>
      </x:c>
      <x:c r="C172" t="n">
        <x:v>617</x:v>
      </x:c>
      <x:c r="D172" t="n">
        <x:v>617</x:v>
      </x:c>
      <x:c r="E172" s="22" t="n">
        <x:v>2018.87</x:v>
      </x:c>
      <x:c r="F172" t="n">
        <x:v>3</x:v>
      </x:c>
      <x:c r="G172" t="n">
        <x:v>3</x:v>
      </x:c>
      <x:c r="H172" s="20" t="n">
        <x:f>IFERROR(F172/B172,0)</x:f>
        <x:v>0.6</x:v>
      </x:c>
      <x:c r="I172" s="20" t="n">
        <x:f>IFERROR(G172/B172,0)</x:f>
        <x:v>0.6</x:v>
      </x:c>
      <x:c r="J172" s="20" t="n">
        <x:f>IFERROR(D172/C172,0)</x:f>
        <x:v>1</x:v>
      </x:c>
      <x:c r="K172" t="str">
        <x:f>IF(B172&lt;Assumptions!$B$8,"Insufficient",IF(I172&lt;Assumptions!$B$9,"High",IF(I172&lt;Assumptions!$B$10,"Medium","Low")))</x:f>
        <x:v>High</x:v>
      </x:c>
      <x:c r="L172" t="n">
        <x:v>0</x:v>
      </x:c>
    </x:row>
    <x:row r="173" ht="18" customHeight="1">
      <x:c r="A173" t="str">
        <x:v>Miboo</x:v>
      </x:c>
      <x:c r="B173" t="n">
        <x:v>10</x:v>
      </x:c>
      <x:c r="C173" t="n">
        <x:v>984</x:v>
      </x:c>
      <x:c r="D173" t="n">
        <x:v>887</x:v>
      </x:c>
      <x:c r="E173" s="22" t="n">
        <x:v>1983.73</x:v>
      </x:c>
      <x:c r="F173" t="n">
        <x:v>5</x:v>
      </x:c>
      <x:c r="G173" t="n">
        <x:v>5</x:v>
      </x:c>
      <x:c r="H173" s="20" t="n">
        <x:f>IFERROR(F173/B173,0)</x:f>
        <x:v>0.5</x:v>
      </x:c>
      <x:c r="I173" s="20" t="n">
        <x:f>IFERROR(G173/B173,0)</x:f>
        <x:v>0.5</x:v>
      </x:c>
      <x:c r="J173" s="20" t="n">
        <x:f>IFERROR(D173/C173,0)</x:f>
        <x:v>0.9014227642276422</x:v>
      </x:c>
      <x:c r="K173" t="str">
        <x:f>IF(B173&lt;Assumptions!$B$8,"Insufficient",IF(I173&lt;Assumptions!$B$9,"High",IF(I173&lt;Assumptions!$B$10,"Medium","Low")))</x:f>
        <x:v>High</x:v>
      </x:c>
      <x:c r="L173" t="n">
        <x:v>1</x:v>
      </x:c>
    </x:row>
    <x:row r="174" ht="18" customHeight="1">
      <x:c r="A174" t="str">
        <x:v>Kanoodle</x:v>
      </x:c>
      <x:c r="B174" t="n">
        <x:v>13</x:v>
      </x:c>
      <x:c r="C174" t="n">
        <x:v>848</x:v>
      </x:c>
      <x:c r="D174" t="n">
        <x:v>784</x:v>
      </x:c>
      <x:c r="E174" s="22" t="n">
        <x:v>1976.12</x:v>
      </x:c>
      <x:c r="F174" t="n">
        <x:v>11</x:v>
      </x:c>
      <x:c r="G174" t="n">
        <x:v>8</x:v>
      </x:c>
      <x:c r="H174" s="20" t="n">
        <x:f>IFERROR(F174/B174,0)</x:f>
        <x:v>0.8461538461538461</x:v>
      </x:c>
      <x:c r="I174" s="20" t="n">
        <x:f>IFERROR(G174/B174,0)</x:f>
        <x:v>0.6153846153846154</x:v>
      </x:c>
      <x:c r="J174" s="20" t="n">
        <x:f>IFERROR(D174/C174,0)</x:f>
        <x:v>0.9245283018867925</x:v>
      </x:c>
      <x:c r="K174" t="str">
        <x:f>IF(B174&lt;Assumptions!$B$8,"Insufficient",IF(I174&lt;Assumptions!$B$9,"High",IF(I174&lt;Assumptions!$B$10,"Medium","Low")))</x:f>
        <x:v>High</x:v>
      </x:c>
      <x:c r="L174" t="n">
        <x:v>0</x:v>
      </x:c>
    </x:row>
    <x:row r="175" ht="18" customHeight="1">
      <x:c r="A175" t="str">
        <x:v>Digitube</x:v>
      </x:c>
      <x:c r="B175" t="n">
        <x:v>9</x:v>
      </x:c>
      <x:c r="C175" t="n">
        <x:v>905</x:v>
      </x:c>
      <x:c r="D175" t="n">
        <x:v>905</x:v>
      </x:c>
      <x:c r="E175" s="22" t="n">
        <x:v>1959.16</x:v>
      </x:c>
      <x:c r="F175" t="n">
        <x:v>6</x:v>
      </x:c>
      <x:c r="G175" t="n">
        <x:v>6</x:v>
      </x:c>
      <x:c r="H175" s="20" t="n">
        <x:f>IFERROR(F175/B175,0)</x:f>
        <x:v>0.6666666666666666</x:v>
      </x:c>
      <x:c r="I175" s="20" t="n">
        <x:f>IFERROR(G175/B175,0)</x:f>
        <x:v>0.6666666666666666</x:v>
      </x:c>
      <x:c r="J175" s="20" t="n">
        <x:f>IFERROR(D175/C175,0)</x:f>
        <x:v>1</x:v>
      </x:c>
      <x:c r="K175" t="str">
        <x:f>IF(B175&lt;Assumptions!$B$8,"Insufficient",IF(I175&lt;Assumptions!$B$9,"High",IF(I175&lt;Assumptions!$B$10,"Medium","Low")))</x:f>
        <x:v>Medium</x:v>
      </x:c>
      <x:c r="L175" t="n">
        <x:v>0</x:v>
      </x:c>
    </x:row>
    <x:row r="176" ht="18" customHeight="1">
      <x:c r="A176" t="str">
        <x:v>Avamba</x:v>
      </x:c>
      <x:c r="B176" t="n">
        <x:v>7</x:v>
      </x:c>
      <x:c r="C176" t="n">
        <x:v>675</x:v>
      </x:c>
      <x:c r="D176" t="n">
        <x:v>675</x:v>
      </x:c>
      <x:c r="E176" s="22" t="n">
        <x:v>1938.84</x:v>
      </x:c>
      <x:c r="F176" t="n">
        <x:v>5</x:v>
      </x:c>
      <x:c r="G176" t="n">
        <x:v>5</x:v>
      </x:c>
      <x:c r="H176" s="20" t="n">
        <x:f>IFERROR(F176/B176,0)</x:f>
        <x:v>0.7142857142857143</x:v>
      </x:c>
      <x:c r="I176" s="20" t="n">
        <x:f>IFERROR(G176/B176,0)</x:f>
        <x:v>0.7142857142857143</x:v>
      </x:c>
      <x:c r="J176" s="20" t="n">
        <x:f>IFERROR(D176/C176,0)</x:f>
        <x:v>1</x:v>
      </x:c>
      <x:c r="K176" t="str">
        <x:f>IF(B176&lt;Assumptions!$B$8,"Insufficient",IF(I176&lt;Assumptions!$B$9,"High",IF(I176&lt;Assumptions!$B$10,"Medium","Low")))</x:f>
        <x:v>Medium</x:v>
      </x:c>
      <x:c r="L176" t="n">
        <x:v>0</x:v>
      </x:c>
    </x:row>
    <x:row r="177" ht="18" customHeight="1">
      <x:c r="A177" t="str">
        <x:v>Feedfire</x:v>
      </x:c>
      <x:c r="B177" t="n">
        <x:v>13</x:v>
      </x:c>
      <x:c r="C177" t="n">
        <x:v>583</x:v>
      </x:c>
      <x:c r="D177" t="n">
        <x:v>455</x:v>
      </x:c>
      <x:c r="E177" s="22" t="n">
        <x:v>1904.97</x:v>
      </x:c>
      <x:c r="F177" t="n">
        <x:v>3</x:v>
      </x:c>
      <x:c r="G177" t="n">
        <x:v>3</x:v>
      </x:c>
      <x:c r="H177" s="20" t="n">
        <x:f>IFERROR(F177/B177,0)</x:f>
        <x:v>0.23076923076923078</x:v>
      </x:c>
      <x:c r="I177" s="20" t="n">
        <x:f>IFERROR(G177/B177,0)</x:f>
        <x:v>0.23076923076923078</x:v>
      </x:c>
      <x:c r="J177" s="20" t="n">
        <x:f>IFERROR(D177/C177,0)</x:f>
        <x:v>0.7804459691252144</x:v>
      </x:c>
      <x:c r="K177" t="str">
        <x:f>IF(B177&lt;Assumptions!$B$8,"Insufficient",IF(I177&lt;Assumptions!$B$9,"High",IF(I177&lt;Assumptions!$B$10,"Medium","Low")))</x:f>
        <x:v>High</x:v>
      </x:c>
      <x:c r="L177" t="n">
        <x:v>4</x:v>
      </x:c>
    </x:row>
    <x:row r="178" ht="18" customHeight="1">
      <x:c r="A178" t="str">
        <x:v>Thoughtmix</x:v>
      </x:c>
      <x:c r="B178" t="n">
        <x:v>7</x:v>
      </x:c>
      <x:c r="C178" t="n">
        <x:v>697</x:v>
      </x:c>
      <x:c r="D178" t="n">
        <x:v>681</x:v>
      </x:c>
      <x:c r="E178" s="22" t="n">
        <x:v>1904.86</x:v>
      </x:c>
      <x:c r="F178" t="n">
        <x:v>4</x:v>
      </x:c>
      <x:c r="G178" t="n">
        <x:v>3</x:v>
      </x:c>
      <x:c r="H178" s="20" t="n">
        <x:f>IFERROR(F178/B178,0)</x:f>
        <x:v>0.5714285714285714</x:v>
      </x:c>
      <x:c r="I178" s="20" t="n">
        <x:f>IFERROR(G178/B178,0)</x:f>
        <x:v>0.42857142857142855</x:v>
      </x:c>
      <x:c r="J178" s="20" t="n">
        <x:f>IFERROR(D178/C178,0)</x:f>
        <x:v>0.9770444763271162</x:v>
      </x:c>
      <x:c r="K178" t="str">
        <x:f>IF(B178&lt;Assumptions!$B$8,"Insufficient",IF(I178&lt;Assumptions!$B$9,"High",IF(I178&lt;Assumptions!$B$10,"Medium","Low")))</x:f>
        <x:v>High</x:v>
      </x:c>
      <x:c r="L178" t="n">
        <x:v>0</x:v>
      </x:c>
    </x:row>
    <x:row r="179" ht="18" customHeight="1">
      <x:c r="A179" t="str">
        <x:v>Vidoo</x:v>
      </x:c>
      <x:c r="B179" t="n">
        <x:v>13</x:v>
      </x:c>
      <x:c r="C179" t="n">
        <x:v>398</x:v>
      </x:c>
      <x:c r="D179" t="n">
        <x:v>363</x:v>
      </x:c>
      <x:c r="E179" s="22" t="n">
        <x:v>1891.49</x:v>
      </x:c>
      <x:c r="F179" t="n">
        <x:v>9</x:v>
      </x:c>
      <x:c r="G179" t="n">
        <x:v>9</x:v>
      </x:c>
      <x:c r="H179" s="20" t="n">
        <x:f>IFERROR(F179/B179,0)</x:f>
        <x:v>0.6923076923076923</x:v>
      </x:c>
      <x:c r="I179" s="20" t="n">
        <x:f>IFERROR(G179/B179,0)</x:f>
        <x:v>0.6923076923076923</x:v>
      </x:c>
      <x:c r="J179" s="20" t="n">
        <x:f>IFERROR(D179/C179,0)</x:f>
        <x:v>0.9120603015075377</x:v>
      </x:c>
      <x:c r="K179" t="str">
        <x:f>IF(B179&lt;Assumptions!$B$8,"Insufficient",IF(I179&lt;Assumptions!$B$9,"High",IF(I179&lt;Assumptions!$B$10,"Medium","Low")))</x:f>
        <x:v>Medium</x:v>
      </x:c>
      <x:c r="L179" t="n">
        <x:v>2</x:v>
      </x:c>
    </x:row>
    <x:row r="180" ht="18" customHeight="1">
      <x:c r="A180" t="str">
        <x:v>Fliptune</x:v>
      </x:c>
      <x:c r="B180" t="n">
        <x:v>7</x:v>
      </x:c>
      <x:c r="C180" t="n">
        <x:v>420</x:v>
      </x:c>
      <x:c r="D180" t="n">
        <x:v>396</x:v>
      </x:c>
      <x:c r="E180" s="22" t="n">
        <x:v>1890.55</x:v>
      </x:c>
      <x:c r="F180" t="n">
        <x:v>5</x:v>
      </x:c>
      <x:c r="G180" t="n">
        <x:v>3</x:v>
      </x:c>
      <x:c r="H180" s="20" t="n">
        <x:f>IFERROR(F180/B180,0)</x:f>
        <x:v>0.7142857142857143</x:v>
      </x:c>
      <x:c r="I180" s="20" t="n">
        <x:f>IFERROR(G180/B180,0)</x:f>
        <x:v>0.42857142857142855</x:v>
      </x:c>
      <x:c r="J180" s="20" t="n">
        <x:f>IFERROR(D180/C180,0)</x:f>
        <x:v>0.9428571428571428</x:v>
      </x:c>
      <x:c r="K180" t="str">
        <x:f>IF(B180&lt;Assumptions!$B$8,"Insufficient",IF(I180&lt;Assumptions!$B$9,"High",IF(I180&lt;Assumptions!$B$10,"Medium","Low")))</x:f>
        <x:v>High</x:v>
      </x:c>
      <x:c r="L180" t="n">
        <x:v>0</x:v>
      </x:c>
    </x:row>
    <x:row r="181" ht="18" customHeight="1">
      <x:c r="A181" t="str">
        <x:v>Oyoloo</x:v>
      </x:c>
      <x:c r="B181" t="n">
        <x:v>10</x:v>
      </x:c>
      <x:c r="C181" t="n">
        <x:v>662</x:v>
      </x:c>
      <x:c r="D181" t="n">
        <x:v>531</x:v>
      </x:c>
      <x:c r="E181" s="22" t="n">
        <x:v>1873.99</x:v>
      </x:c>
      <x:c r="F181" t="n">
        <x:v>5</x:v>
      </x:c>
      <x:c r="G181" t="n">
        <x:v>3</x:v>
      </x:c>
      <x:c r="H181" s="20" t="n">
        <x:f>IFERROR(F181/B181,0)</x:f>
        <x:v>0.5</x:v>
      </x:c>
      <x:c r="I181" s="20" t="n">
        <x:f>IFERROR(G181/B181,0)</x:f>
        <x:v>0.3</x:v>
      </x:c>
      <x:c r="J181" s="20" t="n">
        <x:f>IFERROR(D181/C181,0)</x:f>
        <x:v>0.8021148036253777</x:v>
      </x:c>
      <x:c r="K181" t="str">
        <x:f>IF(B181&lt;Assumptions!$B$8,"Insufficient",IF(I181&lt;Assumptions!$B$9,"High",IF(I181&lt;Assumptions!$B$10,"Medium","Low")))</x:f>
        <x:v>High</x:v>
      </x:c>
      <x:c r="L181" t="n">
        <x:v>2</x:v>
      </x:c>
    </x:row>
    <x:row r="182" ht="18" customHeight="1">
      <x:c r="A182" t="str">
        <x:v>Dynazzy</x:v>
      </x:c>
      <x:c r="B182" t="n">
        <x:v>6</x:v>
      </x:c>
      <x:c r="C182" t="n">
        <x:v>196</x:v>
      </x:c>
      <x:c r="D182" t="n">
        <x:v>196</x:v>
      </x:c>
      <x:c r="E182" s="22" t="n">
        <x:v>1856</x:v>
      </x:c>
      <x:c r="F182" t="n">
        <x:v>6</x:v>
      </x:c>
      <x:c r="G182" t="n">
        <x:v>6</x:v>
      </x:c>
      <x:c r="H182" s="20" t="n">
        <x:f>IFERROR(F182/B182,0)</x:f>
        <x:v>1</x:v>
      </x:c>
      <x:c r="I182" s="20" t="n">
        <x:f>IFERROR(G182/B182,0)</x:f>
        <x:v>1</x:v>
      </x:c>
      <x:c r="J182" s="20" t="n">
        <x:f>IFERROR(D182/C182,0)</x:f>
        <x:v>1</x:v>
      </x:c>
      <x:c r="K182" t="str">
        <x:f>IF(B182&lt;Assumptions!$B$8,"Insufficient",IF(I182&lt;Assumptions!$B$9,"High",IF(I182&lt;Assumptions!$B$10,"Medium","Low")))</x:f>
        <x:v>Low</x:v>
      </x:c>
      <x:c r="L182" t="n">
        <x:v>0</x:v>
      </x:c>
    </x:row>
    <x:row r="183" ht="18" customHeight="1">
      <x:c r="A183" t="str">
        <x:v>Blogpad</x:v>
      </x:c>
      <x:c r="B183" t="n">
        <x:v>8</x:v>
      </x:c>
      <x:c r="C183" t="n">
        <x:v>629</x:v>
      </x:c>
      <x:c r="D183" t="n">
        <x:v>439</x:v>
      </x:c>
      <x:c r="E183" s="22" t="n">
        <x:v>1749.53</x:v>
      </x:c>
      <x:c r="F183" t="n">
        <x:v>6</x:v>
      </x:c>
      <x:c r="G183" t="n">
        <x:v>6</x:v>
      </x:c>
      <x:c r="H183" s="20" t="n">
        <x:f>IFERROR(F183/B183,0)</x:f>
        <x:v>0.75</x:v>
      </x:c>
      <x:c r="I183" s="20" t="n">
        <x:f>IFERROR(G183/B183,0)</x:f>
        <x:v>0.75</x:v>
      </x:c>
      <x:c r="J183" s="20" t="n">
        <x:f>IFERROR(D183/C183,0)</x:f>
        <x:v>0.6979332273449921</x:v>
      </x:c>
      <x:c r="K183" t="str">
        <x:f>IF(B183&lt;Assumptions!$B$8,"Insufficient",IF(I183&lt;Assumptions!$B$9,"High",IF(I183&lt;Assumptions!$B$10,"Medium","Low")))</x:f>
        <x:v>Medium</x:v>
      </x:c>
      <x:c r="L183" t="n">
        <x:v>2</x:v>
      </x:c>
    </x:row>
    <x:row r="184" ht="18" customHeight="1">
      <x:c r="A184" t="str">
        <x:v>Jabberstorm</x:v>
      </x:c>
      <x:c r="B184" t="n">
        <x:v>12</x:v>
      </x:c>
      <x:c r="C184" t="n">
        <x:v>1052</x:v>
      </x:c>
      <x:c r="D184" t="n">
        <x:v>1027</x:v>
      </x:c>
      <x:c r="E184" s="22" t="n">
        <x:v>1739.38</x:v>
      </x:c>
      <x:c r="F184" t="n">
        <x:v>12</x:v>
      </x:c>
      <x:c r="G184" t="n">
        <x:v>9</x:v>
      </x:c>
      <x:c r="H184" s="20" t="n">
        <x:f>IFERROR(F184/B184,0)</x:f>
        <x:v>1</x:v>
      </x:c>
      <x:c r="I184" s="20" t="n">
        <x:f>IFERROR(G184/B184,0)</x:f>
        <x:v>0.75</x:v>
      </x:c>
      <x:c r="J184" s="20" t="n">
        <x:f>IFERROR(D184/C184,0)</x:f>
        <x:v>0.9762357414448669</x:v>
      </x:c>
      <x:c r="K184" t="str">
        <x:f>IF(B184&lt;Assumptions!$B$8,"Insufficient",IF(I184&lt;Assumptions!$B$9,"High",IF(I184&lt;Assumptions!$B$10,"Medium","Low")))</x:f>
        <x:v>Medium</x:v>
      </x:c>
      <x:c r="L184" t="n">
        <x:v>0</x:v>
      </x:c>
    </x:row>
    <x:row r="185" ht="18" customHeight="1">
      <x:c r="A185" t="str">
        <x:v>Zoombeat</x:v>
      </x:c>
      <x:c r="B185" t="n">
        <x:v>3</x:v>
      </x:c>
      <x:c r="C185" t="n">
        <x:v>400</x:v>
      </x:c>
      <x:c r="D185" t="n">
        <x:v>400</x:v>
      </x:c>
      <x:c r="E185" s="22" t="n">
        <x:v>1730.41</x:v>
      </x:c>
      <x:c r="F185" t="n">
        <x:v>1</x:v>
      </x:c>
      <x:c r="G185" t="n">
        <x:v>1</x:v>
      </x:c>
      <x:c r="H185" s="20" t="n">
        <x:f>IFERROR(F185/B185,0)</x:f>
        <x:v>0.3333333333333333</x:v>
      </x:c>
      <x:c r="I185" s="20" t="n">
        <x:f>IFERROR(G185/B185,0)</x:f>
        <x:v>0.3333333333333333</x:v>
      </x:c>
      <x:c r="J185" s="20" t="n">
        <x:f>IFERROR(D185/C185,0)</x:f>
        <x:v>1</x:v>
      </x:c>
      <x:c r="K185" t="str">
        <x:f>IF(B185&lt;Assumptions!$B$8,"Insufficient",IF(I185&lt;Assumptions!$B$9,"High",IF(I185&lt;Assumptions!$B$10,"Medium","Low")))</x:f>
        <x:v>Insufficient</x:v>
      </x:c>
      <x:c r="L185" t="n">
        <x:v>0</x:v>
      </x:c>
    </x:row>
    <x:row r="186" ht="18" customHeight="1">
      <x:c r="A186" t="str">
        <x:v>Fanoodle</x:v>
      </x:c>
      <x:c r="B186" t="n">
        <x:v>4</x:v>
      </x:c>
      <x:c r="C186" t="n">
        <x:v>147</x:v>
      </x:c>
      <x:c r="D186" t="n">
        <x:v>147</x:v>
      </x:c>
      <x:c r="E186" s="22" t="n">
        <x:v>1729.03</x:v>
      </x:c>
      <x:c r="F186" t="n">
        <x:v>4</x:v>
      </x:c>
      <x:c r="G186" t="n">
        <x:v>4</x:v>
      </x:c>
      <x:c r="H186" s="20" t="n">
        <x:f>IFERROR(F186/B186,0)</x:f>
        <x:v>1</x:v>
      </x:c>
      <x:c r="I186" s="20" t="n">
        <x:f>IFERROR(G186/B186,0)</x:f>
        <x:v>1</x:v>
      </x:c>
      <x:c r="J186" s="20" t="n">
        <x:f>IFERROR(D186/C186,0)</x:f>
        <x:v>1</x:v>
      </x:c>
      <x:c r="K186" t="str">
        <x:f>IF(B186&lt;Assumptions!$B$8,"Insufficient",IF(I186&lt;Assumptions!$B$9,"High",IF(I186&lt;Assumptions!$B$10,"Medium","Low")))</x:f>
        <x:v>Insufficient</x:v>
      </x:c>
      <x:c r="L186" t="n">
        <x:v>0</x:v>
      </x:c>
    </x:row>
    <x:row r="187" ht="18" customHeight="1">
      <x:c r="A187" t="str">
        <x:v>Skalith</x:v>
      </x:c>
      <x:c r="B187" t="n">
        <x:v>11</x:v>
      </x:c>
      <x:c r="C187" t="n">
        <x:v>479</x:v>
      </x:c>
      <x:c r="D187" t="n">
        <x:v>339</x:v>
      </x:c>
      <x:c r="E187" s="22" t="n">
        <x:v>1705.51</x:v>
      </x:c>
      <x:c r="F187" t="n">
        <x:v>9</x:v>
      </x:c>
      <x:c r="G187" t="n">
        <x:v>9</x:v>
      </x:c>
      <x:c r="H187" s="20" t="n">
        <x:f>IFERROR(F187/B187,0)</x:f>
        <x:v>0.8181818181818182</x:v>
      </x:c>
      <x:c r="I187" s="20" t="n">
        <x:f>IFERROR(G187/B187,0)</x:f>
        <x:v>0.8181818181818182</x:v>
      </x:c>
      <x:c r="J187" s="20" t="n">
        <x:f>IFERROR(D187/C187,0)</x:f>
        <x:v>0.7077244258872651</x:v>
      </x:c>
      <x:c r="K187" t="str">
        <x:f>IF(B187&lt;Assumptions!$B$8,"Insufficient",IF(I187&lt;Assumptions!$B$9,"High",IF(I187&lt;Assumptions!$B$10,"Medium","Low")))</x:f>
        <x:v>Medium</x:v>
      </x:c>
      <x:c r="L187" t="n">
        <x:v>2</x:v>
      </x:c>
    </x:row>
    <x:row r="188" ht="18" customHeight="1">
      <x:c r="A188" t="str">
        <x:v>Gabvine</x:v>
      </x:c>
      <x:c r="B188" t="n">
        <x:v>6</x:v>
      </x:c>
      <x:c r="C188" t="n">
        <x:v>641</x:v>
      </x:c>
      <x:c r="D188" t="n">
        <x:v>641</x:v>
      </x:c>
      <x:c r="E188" s="22" t="n">
        <x:v>1701.51</x:v>
      </x:c>
      <x:c r="F188" t="n">
        <x:v>1</x:v>
      </x:c>
      <x:c r="G188" t="n">
        <x:v>1</x:v>
      </x:c>
      <x:c r="H188" s="20" t="n">
        <x:f>IFERROR(F188/B188,0)</x:f>
        <x:v>0.16666666666666666</x:v>
      </x:c>
      <x:c r="I188" s="20" t="n">
        <x:f>IFERROR(G188/B188,0)</x:f>
        <x:v>0.16666666666666666</x:v>
      </x:c>
      <x:c r="J188" s="20" t="n">
        <x:f>IFERROR(D188/C188,0)</x:f>
        <x:v>1</x:v>
      </x:c>
      <x:c r="K188" t="str">
        <x:f>IF(B188&lt;Assumptions!$B$8,"Insufficient",IF(I188&lt;Assumptions!$B$9,"High",IF(I188&lt;Assumptions!$B$10,"Medium","Low")))</x:f>
        <x:v>High</x:v>
      </x:c>
      <x:c r="L188" t="n">
        <x:v>0</x:v>
      </x:c>
    </x:row>
    <x:row r="189" ht="18" customHeight="1">
      <x:c r="A189" t="str">
        <x:v>Eire</x:v>
      </x:c>
      <x:c r="B189" t="n">
        <x:v>8</x:v>
      </x:c>
      <x:c r="C189" t="n">
        <x:v>389</x:v>
      </x:c>
      <x:c r="D189" t="n">
        <x:v>326</x:v>
      </x:c>
      <x:c r="E189" s="22" t="n">
        <x:v>1690.63</x:v>
      </x:c>
      <x:c r="F189" t="n">
        <x:v>4</x:v>
      </x:c>
      <x:c r="G189" t="n">
        <x:v>3</x:v>
      </x:c>
      <x:c r="H189" s="20" t="n">
        <x:f>IFERROR(F189/B189,0)</x:f>
        <x:v>0.5</x:v>
      </x:c>
      <x:c r="I189" s="20" t="n">
        <x:f>IFERROR(G189/B189,0)</x:f>
        <x:v>0.375</x:v>
      </x:c>
      <x:c r="J189" s="20" t="n">
        <x:f>IFERROR(D189/C189,0)</x:f>
        <x:v>0.8380462724935732</x:v>
      </x:c>
      <x:c r="K189" t="str">
        <x:f>IF(B189&lt;Assumptions!$B$8,"Insufficient",IF(I189&lt;Assumptions!$B$9,"High",IF(I189&lt;Assumptions!$B$10,"Medium","Low")))</x:f>
        <x:v>High</x:v>
      </x:c>
      <x:c r="L189" t="n">
        <x:v>1</x:v>
      </x:c>
    </x:row>
    <x:row r="190" ht="18" customHeight="1">
      <x:c r="A190" t="str">
        <x:v>Voonix</x:v>
      </x:c>
      <x:c r="B190" t="n">
        <x:v>4</x:v>
      </x:c>
      <x:c r="C190" t="n">
        <x:v>435</x:v>
      </x:c>
      <x:c r="D190" t="n">
        <x:v>394</x:v>
      </x:c>
      <x:c r="E190" s="22" t="n">
        <x:v>1640.09</x:v>
      </x:c>
      <x:c r="F190" t="n">
        <x:v>2</x:v>
      </x:c>
      <x:c r="G190" t="n">
        <x:v>1</x:v>
      </x:c>
      <x:c r="H190" s="20" t="n">
        <x:f>IFERROR(F190/B190,0)</x:f>
        <x:v>0.5</x:v>
      </x:c>
      <x:c r="I190" s="20" t="n">
        <x:f>IFERROR(G190/B190,0)</x:f>
        <x:v>0.25</x:v>
      </x:c>
      <x:c r="J190" s="20" t="n">
        <x:f>IFERROR(D190/C190,0)</x:f>
        <x:v>0.9057471264367816</x:v>
      </x:c>
      <x:c r="K190" t="str">
        <x:f>IF(B190&lt;Assumptions!$B$8,"Insufficient",IF(I190&lt;Assumptions!$B$9,"High",IF(I190&lt;Assumptions!$B$10,"Medium","Low")))</x:f>
        <x:v>Insufficient</x:v>
      </x:c>
      <x:c r="L190" t="n">
        <x:v>0</x:v>
      </x:c>
    </x:row>
    <x:row r="191" ht="18" customHeight="1">
      <x:c r="A191" t="str">
        <x:v>Tagtune</x:v>
      </x:c>
      <x:c r="B191" t="n">
        <x:v>11</x:v>
      </x:c>
      <x:c r="C191" t="n">
        <x:v>782</x:v>
      </x:c>
      <x:c r="D191" t="n">
        <x:v>564</x:v>
      </x:c>
      <x:c r="E191" s="22" t="n">
        <x:v>1623.64</x:v>
      </x:c>
      <x:c r="F191" t="n">
        <x:v>5</x:v>
      </x:c>
      <x:c r="G191" t="n">
        <x:v>5</x:v>
      </x:c>
      <x:c r="H191" s="20" t="n">
        <x:f>IFERROR(F191/B191,0)</x:f>
        <x:v>0.45454545454545453</x:v>
      </x:c>
      <x:c r="I191" s="20" t="n">
        <x:f>IFERROR(G191/B191,0)</x:f>
        <x:v>0.45454545454545453</x:v>
      </x:c>
      <x:c r="J191" s="20" t="n">
        <x:f>IFERROR(D191/C191,0)</x:f>
        <x:v>0.7212276214833759</x:v>
      </x:c>
      <x:c r="K191" t="str">
        <x:f>IF(B191&lt;Assumptions!$B$8,"Insufficient",IF(I191&lt;Assumptions!$B$9,"High",IF(I191&lt;Assumptions!$B$10,"Medium","Low")))</x:f>
        <x:v>High</x:v>
      </x:c>
      <x:c r="L191" t="n">
        <x:v>3</x:v>
      </x:c>
    </x:row>
    <x:row r="192" ht="18" customHeight="1">
      <x:c r="A192" t="str">
        <x:v>Npath</x:v>
      </x:c>
      <x:c r="B192" t="n">
        <x:v>8</x:v>
      </x:c>
      <x:c r="C192" t="n">
        <x:v>483</x:v>
      </x:c>
      <x:c r="D192" t="n">
        <x:v>307</x:v>
      </x:c>
      <x:c r="E192" s="22" t="n">
        <x:v>1604.78</x:v>
      </x:c>
      <x:c r="F192" t="n">
        <x:v>3</x:v>
      </x:c>
      <x:c r="G192" t="n">
        <x:v>2</x:v>
      </x:c>
      <x:c r="H192" s="20" t="n">
        <x:f>IFERROR(F192/B192,0)</x:f>
        <x:v>0.375</x:v>
      </x:c>
      <x:c r="I192" s="20" t="n">
        <x:f>IFERROR(G192/B192,0)</x:f>
        <x:v>0.25</x:v>
      </x:c>
      <x:c r="J192" s="20" t="n">
        <x:f>IFERROR(D192/C192,0)</x:f>
        <x:v>0.6356107660455487</x:v>
      </x:c>
      <x:c r="K192" t="str">
        <x:f>IF(B192&lt;Assumptions!$B$8,"Insufficient",IF(I192&lt;Assumptions!$B$9,"High",IF(I192&lt;Assumptions!$B$10,"Medium","Low")))</x:f>
        <x:v>High</x:v>
      </x:c>
      <x:c r="L192" t="n">
        <x:v>2</x:v>
      </x:c>
    </x:row>
    <x:row r="193" ht="18" customHeight="1">
      <x:c r="A193" t="str">
        <x:v>Voonte</x:v>
      </x:c>
      <x:c r="B193" t="n">
        <x:v>4</x:v>
      </x:c>
      <x:c r="C193" t="n">
        <x:v>264</x:v>
      </x:c>
      <x:c r="D193" t="n">
        <x:v>243</x:v>
      </x:c>
      <x:c r="E193" s="22" t="n">
        <x:v>1574.91</x:v>
      </x:c>
      <x:c r="F193" t="n">
        <x:v>3</x:v>
      </x:c>
      <x:c r="G193" t="n">
        <x:v>2</x:v>
      </x:c>
      <x:c r="H193" s="20" t="n">
        <x:f>IFERROR(F193/B193,0)</x:f>
        <x:v>0.75</x:v>
      </x:c>
      <x:c r="I193" s="20" t="n">
        <x:f>IFERROR(G193/B193,0)</x:f>
        <x:v>0.5</x:v>
      </x:c>
      <x:c r="J193" s="20" t="n">
        <x:f>IFERROR(D193/C193,0)</x:f>
        <x:v>0.9204545454545454</x:v>
      </x:c>
      <x:c r="K193" t="str">
        <x:f>IF(B193&lt;Assumptions!$B$8,"Insufficient",IF(I193&lt;Assumptions!$B$9,"High",IF(I193&lt;Assumptions!$B$10,"Medium","Low")))</x:f>
        <x:v>Insufficient</x:v>
      </x:c>
      <x:c r="L193" t="n">
        <x:v>0</x:v>
      </x:c>
    </x:row>
    <x:row r="194" ht="18" customHeight="1">
      <x:c r="A194" t="str">
        <x:v>Dynabox</x:v>
      </x:c>
      <x:c r="B194" t="n">
        <x:v>12</x:v>
      </x:c>
      <x:c r="C194" t="n">
        <x:v>718</x:v>
      </x:c>
      <x:c r="D194" t="n">
        <x:v>718</x:v>
      </x:c>
      <x:c r="E194" s="22" t="n">
        <x:v>1572.76</x:v>
      </x:c>
      <x:c r="F194" t="n">
        <x:v>11</x:v>
      </x:c>
      <x:c r="G194" t="n">
        <x:v>11</x:v>
      </x:c>
      <x:c r="H194" s="20" t="n">
        <x:f>IFERROR(F194/B194,0)</x:f>
        <x:v>0.9166666666666666</x:v>
      </x:c>
      <x:c r="I194" s="20" t="n">
        <x:f>IFERROR(G194/B194,0)</x:f>
        <x:v>0.9166666666666666</x:v>
      </x:c>
      <x:c r="J194" s="20" t="n">
        <x:f>IFERROR(D194/C194,0)</x:f>
        <x:v>1</x:v>
      </x:c>
      <x:c r="K194" t="str">
        <x:f>IF(B194&lt;Assumptions!$B$8,"Insufficient",IF(I194&lt;Assumptions!$B$9,"High",IF(I194&lt;Assumptions!$B$10,"Medium","Low")))</x:f>
        <x:v>Low</x:v>
      </x:c>
      <x:c r="L194" t="n">
        <x:v>0</x:v>
      </x:c>
    </x:row>
    <x:row r="195" ht="18" customHeight="1">
      <x:c r="A195" t="str">
        <x:v>Centimia</x:v>
      </x:c>
      <x:c r="B195" t="n">
        <x:v>13</x:v>
      </x:c>
      <x:c r="C195" t="n">
        <x:v>1103</x:v>
      </x:c>
      <x:c r="D195" t="n">
        <x:v>1004</x:v>
      </x:c>
      <x:c r="E195" s="22" t="n">
        <x:v>1571.26</x:v>
      </x:c>
      <x:c r="F195" t="n">
        <x:v>5</x:v>
      </x:c>
      <x:c r="G195" t="n">
        <x:v>5</x:v>
      </x:c>
      <x:c r="H195" s="20" t="n">
        <x:f>IFERROR(F195/B195,0)</x:f>
        <x:v>0.38461538461538464</x:v>
      </x:c>
      <x:c r="I195" s="20" t="n">
        <x:f>IFERROR(G195/B195,0)</x:f>
        <x:v>0.38461538461538464</x:v>
      </x:c>
      <x:c r="J195" s="20" t="n">
        <x:f>IFERROR(D195/C195,0)</x:f>
        <x:v>0.9102447869446962</x:v>
      </x:c>
      <x:c r="K195" t="str">
        <x:f>IF(B195&lt;Assumptions!$B$8,"Insufficient",IF(I195&lt;Assumptions!$B$9,"High",IF(I195&lt;Assumptions!$B$10,"Medium","Low")))</x:f>
        <x:v>High</x:v>
      </x:c>
      <x:c r="L195" t="n">
        <x:v>2</x:v>
      </x:c>
    </x:row>
    <x:row r="196" ht="18" customHeight="1">
      <x:c r="A196" t="str">
        <x:v>Skyba</x:v>
      </x:c>
      <x:c r="B196" t="n">
        <x:v>5</x:v>
      </x:c>
      <x:c r="C196" t="n">
        <x:v>530</x:v>
      </x:c>
      <x:c r="D196" t="n">
        <x:v>509</x:v>
      </x:c>
      <x:c r="E196" s="22" t="n">
        <x:v>1566.01</x:v>
      </x:c>
      <x:c r="F196" t="n">
        <x:v>4</x:v>
      </x:c>
      <x:c r="G196" t="n">
        <x:v>4</x:v>
      </x:c>
      <x:c r="H196" s="20" t="n">
        <x:f>IFERROR(F196/B196,0)</x:f>
        <x:v>0.8</x:v>
      </x:c>
      <x:c r="I196" s="20" t="n">
        <x:f>IFERROR(G196/B196,0)</x:f>
        <x:v>0.8</x:v>
      </x:c>
      <x:c r="J196" s="20" t="n">
        <x:f>IFERROR(D196/C196,0)</x:f>
        <x:v>0.960377358490566</x:v>
      </x:c>
      <x:c r="K196" t="str">
        <x:f>IF(B196&lt;Assumptions!$B$8,"Insufficient",IF(I196&lt;Assumptions!$B$9,"High",IF(I196&lt;Assumptions!$B$10,"Medium","Low")))</x:f>
        <x:v>Medium</x:v>
      </x:c>
      <x:c r="L196" t="n">
        <x:v>0</x:v>
      </x:c>
    </x:row>
    <x:row r="197" ht="18" customHeight="1">
      <x:c r="A197" t="str">
        <x:v>Devpoint</x:v>
      </x:c>
      <x:c r="B197" t="n">
        <x:v>14</x:v>
      </x:c>
      <x:c r="C197" t="n">
        <x:v>667</x:v>
      </x:c>
      <x:c r="D197" t="n">
        <x:v>547</x:v>
      </x:c>
      <x:c r="E197" s="22" t="n">
        <x:v>1564.14</x:v>
      </x:c>
      <x:c r="F197" t="n">
        <x:v>11</x:v>
      </x:c>
      <x:c r="G197" t="n">
        <x:v>10</x:v>
      </x:c>
      <x:c r="H197" s="20" t="n">
        <x:f>IFERROR(F197/B197,0)</x:f>
        <x:v>0.7857142857142857</x:v>
      </x:c>
      <x:c r="I197" s="20" t="n">
        <x:f>IFERROR(G197/B197,0)</x:f>
        <x:v>0.7142857142857143</x:v>
      </x:c>
      <x:c r="J197" s="20" t="n">
        <x:f>IFERROR(D197/C197,0)</x:f>
        <x:v>0.8200899550224887</x:v>
      </x:c>
      <x:c r="K197" t="str">
        <x:f>IF(B197&lt;Assumptions!$B$8,"Insufficient",IF(I197&lt;Assumptions!$B$9,"High",IF(I197&lt;Assumptions!$B$10,"Medium","Low")))</x:f>
        <x:v>Medium</x:v>
      </x:c>
      <x:c r="L197" t="n">
        <x:v>2</x:v>
      </x:c>
    </x:row>
    <x:row r="198" ht="18" customHeight="1">
      <x:c r="A198" t="str">
        <x:v>Kwinu</x:v>
      </x:c>
      <x:c r="B198" t="n">
        <x:v>6</x:v>
      </x:c>
      <x:c r="C198" t="n">
        <x:v>388</x:v>
      </x:c>
      <x:c r="D198" t="n">
        <x:v>311</x:v>
      </x:c>
      <x:c r="E198" s="22" t="n">
        <x:v>1552.94</x:v>
      </x:c>
      <x:c r="F198" t="n">
        <x:v>5</x:v>
      </x:c>
      <x:c r="G198" t="n">
        <x:v>5</x:v>
      </x:c>
      <x:c r="H198" s="20" t="n">
        <x:f>IFERROR(F198/B198,0)</x:f>
        <x:v>0.8333333333333334</x:v>
      </x:c>
      <x:c r="I198" s="20" t="n">
        <x:f>IFERROR(G198/B198,0)</x:f>
        <x:v>0.8333333333333334</x:v>
      </x:c>
      <x:c r="J198" s="20" t="n">
        <x:f>IFERROR(D198/C198,0)</x:f>
        <x:v>0.8015463917525774</x:v>
      </x:c>
      <x:c r="K198" t="str">
        <x:f>IF(B198&lt;Assumptions!$B$8,"Insufficient",IF(I198&lt;Assumptions!$B$9,"High",IF(I198&lt;Assumptions!$B$10,"Medium","Low")))</x:f>
        <x:v>Medium</x:v>
      </x:c>
      <x:c r="L198" t="n">
        <x:v>1</x:v>
      </x:c>
    </x:row>
    <x:row r="199" ht="18" customHeight="1">
      <x:c r="A199" t="str">
        <x:v>Cogibox</x:v>
      </x:c>
      <x:c r="B199" t="n">
        <x:v>6</x:v>
      </x:c>
      <x:c r="C199" t="n">
        <x:v>245</x:v>
      </x:c>
      <x:c r="D199" t="n">
        <x:v>230</x:v>
      </x:c>
      <x:c r="E199" s="22" t="n">
        <x:v>1548.32</x:v>
      </x:c>
      <x:c r="F199" t="n">
        <x:v>4</x:v>
      </x:c>
      <x:c r="G199" t="n">
        <x:v>3</x:v>
      </x:c>
      <x:c r="H199" s="20" t="n">
        <x:f>IFERROR(F199/B199,0)</x:f>
        <x:v>0.6666666666666666</x:v>
      </x:c>
      <x:c r="I199" s="20" t="n">
        <x:f>IFERROR(G199/B199,0)</x:f>
        <x:v>0.5</x:v>
      </x:c>
      <x:c r="J199" s="20" t="n">
        <x:f>IFERROR(D199/C199,0)</x:f>
        <x:v>0.9387755102040817</x:v>
      </x:c>
      <x:c r="K199" t="str">
        <x:f>IF(B199&lt;Assumptions!$B$8,"Insufficient",IF(I199&lt;Assumptions!$B$9,"High",IF(I199&lt;Assumptions!$B$10,"Medium","Low")))</x:f>
        <x:v>High</x:v>
      </x:c>
      <x:c r="L199" t="n">
        <x:v>0</x:v>
      </x:c>
    </x:row>
    <x:row r="200" ht="18" customHeight="1">
      <x:c r="A200" t="str">
        <x:v>Gigaclub</x:v>
      </x:c>
      <x:c r="B200" t="n">
        <x:v>10</x:v>
      </x:c>
      <x:c r="C200" t="n">
        <x:v>1057</x:v>
      </x:c>
      <x:c r="D200" t="n">
        <x:v>992</x:v>
      </x:c>
      <x:c r="E200" s="22" t="n">
        <x:v>1529.24</x:v>
      </x:c>
      <x:c r="F200" t="n">
        <x:v>7</x:v>
      </x:c>
      <x:c r="G200" t="n">
        <x:v>7</x:v>
      </x:c>
      <x:c r="H200" s="20" t="n">
        <x:f>IFERROR(F200/B200,0)</x:f>
        <x:v>0.7</x:v>
      </x:c>
      <x:c r="I200" s="20" t="n">
        <x:f>IFERROR(G200/B200,0)</x:f>
        <x:v>0.7</x:v>
      </x:c>
      <x:c r="J200" s="20" t="n">
        <x:f>IFERROR(D200/C200,0)</x:f>
        <x:v>0.9385052034058656</x:v>
      </x:c>
      <x:c r="K200" t="str">
        <x:f>IF(B200&lt;Assumptions!$B$8,"Insufficient",IF(I200&lt;Assumptions!$B$9,"High",IF(I200&lt;Assumptions!$B$10,"Medium","Low")))</x:f>
        <x:v>Medium</x:v>
      </x:c>
      <x:c r="L200" t="n">
        <x:v>1</x:v>
      </x:c>
    </x:row>
    <x:row r="201" ht="18" customHeight="1">
      <x:c r="A201" t="str">
        <x:v>Wordpedia</x:v>
      </x:c>
      <x:c r="B201" t="n">
        <x:v>6</x:v>
      </x:c>
      <x:c r="C201" t="n">
        <x:v>533</x:v>
      </x:c>
      <x:c r="D201" t="n">
        <x:v>472</x:v>
      </x:c>
      <x:c r="E201" s="22" t="n">
        <x:v>1488.83</x:v>
      </x:c>
      <x:c r="F201" t="n">
        <x:v>4</x:v>
      </x:c>
      <x:c r="G201" t="n">
        <x:v>3</x:v>
      </x:c>
      <x:c r="H201" s="20" t="n">
        <x:f>IFERROR(F201/B201,0)</x:f>
        <x:v>0.6666666666666666</x:v>
      </x:c>
      <x:c r="I201" s="20" t="n">
        <x:f>IFERROR(G201/B201,0)</x:f>
        <x:v>0.5</x:v>
      </x:c>
      <x:c r="J201" s="20" t="n">
        <x:f>IFERROR(D201/C201,0)</x:f>
        <x:v>0.8855534709193246</x:v>
      </x:c>
      <x:c r="K201" t="str">
        <x:f>IF(B201&lt;Assumptions!$B$8,"Insufficient",IF(I201&lt;Assumptions!$B$9,"High",IF(I201&lt;Assumptions!$B$10,"Medium","Low")))</x:f>
        <x:v>High</x:v>
      </x:c>
      <x:c r="L201" t="n">
        <x:v>0</x:v>
      </x:c>
    </x:row>
    <x:row r="202" ht="18" customHeight="1">
      <x:c r="A202" t="str">
        <x:v>Wordify</x:v>
      </x:c>
      <x:c r="B202" t="n">
        <x:v>6</x:v>
      </x:c>
      <x:c r="C202" t="n">
        <x:v>312</x:v>
      </x:c>
      <x:c r="D202" t="n">
        <x:v>312</x:v>
      </x:c>
      <x:c r="E202" s="22" t="n">
        <x:v>1487.09</x:v>
      </x:c>
      <x:c r="F202" t="n">
        <x:v>5</x:v>
      </x:c>
      <x:c r="G202" t="n">
        <x:v>5</x:v>
      </x:c>
      <x:c r="H202" s="20" t="n">
        <x:f>IFERROR(F202/B202,0)</x:f>
        <x:v>0.8333333333333334</x:v>
      </x:c>
      <x:c r="I202" s="20" t="n">
        <x:f>IFERROR(G202/B202,0)</x:f>
        <x:v>0.8333333333333334</x:v>
      </x:c>
      <x:c r="J202" s="20" t="n">
        <x:f>IFERROR(D202/C202,0)</x:f>
        <x:v>1</x:v>
      </x:c>
      <x:c r="K202" t="str">
        <x:f>IF(B202&lt;Assumptions!$B$8,"Insufficient",IF(I202&lt;Assumptions!$B$9,"High",IF(I202&lt;Assumptions!$B$10,"Medium","Low")))</x:f>
        <x:v>Medium</x:v>
      </x:c>
      <x:c r="L202" t="n">
        <x:v>0</x:v>
      </x:c>
    </x:row>
    <x:row r="203" ht="18" customHeight="1">
      <x:c r="A203" t="str">
        <x:v>Kare</x:v>
      </x:c>
      <x:c r="B203" t="n">
        <x:v>7</x:v>
      </x:c>
      <x:c r="C203" t="n">
        <x:v>574</x:v>
      </x:c>
      <x:c r="D203" t="n">
        <x:v>548</x:v>
      </x:c>
      <x:c r="E203" s="22" t="n">
        <x:v>1475</x:v>
      </x:c>
      <x:c r="F203" t="n">
        <x:v>6</x:v>
      </x:c>
      <x:c r="G203" t="n">
        <x:v>5</x:v>
      </x:c>
      <x:c r="H203" s="20" t="n">
        <x:f>IFERROR(F203/B203,0)</x:f>
        <x:v>0.8571428571428571</x:v>
      </x:c>
      <x:c r="I203" s="20" t="n">
        <x:f>IFERROR(G203/B203,0)</x:f>
        <x:v>0.7142857142857143</x:v>
      </x:c>
      <x:c r="J203" s="20" t="n">
        <x:f>IFERROR(D203/C203,0)</x:f>
        <x:v>0.9547038327526133</x:v>
      </x:c>
      <x:c r="K203" t="str">
        <x:f>IF(B203&lt;Assumptions!$B$8,"Insufficient",IF(I203&lt;Assumptions!$B$9,"High",IF(I203&lt;Assumptions!$B$10,"Medium","Low")))</x:f>
        <x:v>Medium</x:v>
      </x:c>
      <x:c r="L203" t="n">
        <x:v>0</x:v>
      </x:c>
    </x:row>
    <x:row r="204" ht="18" customHeight="1">
      <x:c r="A204" t="str">
        <x:v>Wikivu</x:v>
      </x:c>
      <x:c r="B204" t="n">
        <x:v>4</x:v>
      </x:c>
      <x:c r="C204" t="n">
        <x:v>384</x:v>
      </x:c>
      <x:c r="D204" t="n">
        <x:v>384</x:v>
      </x:c>
      <x:c r="E204" s="22" t="n">
        <x:v>1468.91</x:v>
      </x:c>
      <x:c r="F204" t="n">
        <x:v>4</x:v>
      </x:c>
      <x:c r="G204" t="n">
        <x:v>4</x:v>
      </x:c>
      <x:c r="H204" s="20" t="n">
        <x:f>IFERROR(F204/B204,0)</x:f>
        <x:v>1</x:v>
      </x:c>
      <x:c r="I204" s="20" t="n">
        <x:f>IFERROR(G204/B204,0)</x:f>
        <x:v>1</x:v>
      </x:c>
      <x:c r="J204" s="20" t="n">
        <x:f>IFERROR(D204/C204,0)</x:f>
        <x:v>1</x:v>
      </x:c>
      <x:c r="K204" t="str">
        <x:f>IF(B204&lt;Assumptions!$B$8,"Insufficient",IF(I204&lt;Assumptions!$B$9,"High",IF(I204&lt;Assumptions!$B$10,"Medium","Low")))</x:f>
        <x:v>Insufficient</x:v>
      </x:c>
      <x:c r="L204" t="n">
        <x:v>0</x:v>
      </x:c>
    </x:row>
    <x:row r="205" ht="18" customHeight="1">
      <x:c r="A205" t="str">
        <x:v>Zava</x:v>
      </x:c>
      <x:c r="B205" t="n">
        <x:v>13</x:v>
      </x:c>
      <x:c r="C205" t="n">
        <x:v>834</x:v>
      </x:c>
      <x:c r="D205" t="n">
        <x:v>767</x:v>
      </x:c>
      <x:c r="E205" s="22" t="n">
        <x:v>1466.64</x:v>
      </x:c>
      <x:c r="F205" t="n">
        <x:v>10</x:v>
      </x:c>
      <x:c r="G205" t="n">
        <x:v>9</x:v>
      </x:c>
      <x:c r="H205" s="20" t="n">
        <x:f>IFERROR(F205/B205,0)</x:f>
        <x:v>0.7692307692307693</x:v>
      </x:c>
      <x:c r="I205" s="20" t="n">
        <x:f>IFERROR(G205/B205,0)</x:f>
        <x:v>0.6923076923076923</x:v>
      </x:c>
      <x:c r="J205" s="20" t="n">
        <x:f>IFERROR(D205/C205,0)</x:f>
        <x:v>0.919664268585132</x:v>
      </x:c>
      <x:c r="K205" t="str">
        <x:f>IF(B205&lt;Assumptions!$B$8,"Insufficient",IF(I205&lt;Assumptions!$B$9,"High",IF(I205&lt;Assumptions!$B$10,"Medium","Low")))</x:f>
        <x:v>Medium</x:v>
      </x:c>
      <x:c r="L205" t="n">
        <x:v>0</x:v>
      </x:c>
    </x:row>
    <x:row r="206" ht="18" customHeight="1">
      <x:c r="A206" t="str">
        <x:v>Zoonder</x:v>
      </x:c>
      <x:c r="B206" t="n">
        <x:v>6</x:v>
      </x:c>
      <x:c r="C206" t="n">
        <x:v>503</x:v>
      </x:c>
      <x:c r="D206" t="n">
        <x:v>498</x:v>
      </x:c>
      <x:c r="E206" s="22" t="n">
        <x:v>1453.74</x:v>
      </x:c>
      <x:c r="F206" t="n">
        <x:v>2</x:v>
      </x:c>
      <x:c r="G206" t="n">
        <x:v>2</x:v>
      </x:c>
      <x:c r="H206" s="20" t="n">
        <x:f>IFERROR(F206/B206,0)</x:f>
        <x:v>0.3333333333333333</x:v>
      </x:c>
      <x:c r="I206" s="20" t="n">
        <x:f>IFERROR(G206/B206,0)</x:f>
        <x:v>0.3333333333333333</x:v>
      </x:c>
      <x:c r="J206" s="20" t="n">
        <x:f>IFERROR(D206/C206,0)</x:f>
        <x:v>0.9900596421471173</x:v>
      </x:c>
      <x:c r="K206" t="str">
        <x:f>IF(B206&lt;Assumptions!$B$8,"Insufficient",IF(I206&lt;Assumptions!$B$9,"High",IF(I206&lt;Assumptions!$B$10,"Medium","Low")))</x:f>
        <x:v>High</x:v>
      </x:c>
      <x:c r="L206" t="n">
        <x:v>0</x:v>
      </x:c>
    </x:row>
    <x:row r="207" ht="18" customHeight="1">
      <x:c r="A207" t="str">
        <x:v>Thoughtsphere</x:v>
      </x:c>
      <x:c r="B207" t="n">
        <x:v>6</x:v>
      </x:c>
      <x:c r="C207" t="n">
        <x:v>441</x:v>
      </x:c>
      <x:c r="D207" t="n">
        <x:v>431</x:v>
      </x:c>
      <x:c r="E207" s="22" t="n">
        <x:v>1420.59</x:v>
      </x:c>
      <x:c r="F207" t="n">
        <x:v>6</x:v>
      </x:c>
      <x:c r="G207" t="n">
        <x:v>5</x:v>
      </x:c>
      <x:c r="H207" s="20" t="n">
        <x:f>IFERROR(F207/B207,0)</x:f>
        <x:v>1</x:v>
      </x:c>
      <x:c r="I207" s="20" t="n">
        <x:f>IFERROR(G207/B207,0)</x:f>
        <x:v>0.8333333333333334</x:v>
      </x:c>
      <x:c r="J207" s="20" t="n">
        <x:f>IFERROR(D207/C207,0)</x:f>
        <x:v>0.9773242630385488</x:v>
      </x:c>
      <x:c r="K207" t="str">
        <x:f>IF(B207&lt;Assumptions!$B$8,"Insufficient",IF(I207&lt;Assumptions!$B$9,"High",IF(I207&lt;Assumptions!$B$10,"Medium","Low")))</x:f>
        <x:v>Medium</x:v>
      </x:c>
      <x:c r="L207" t="n">
        <x:v>0</x:v>
      </x:c>
    </x:row>
    <x:row r="208" ht="18" customHeight="1">
      <x:c r="A208" t="str">
        <x:v>Yata</x:v>
      </x:c>
      <x:c r="B208" t="n">
        <x:v>8</x:v>
      </x:c>
      <x:c r="C208" t="n">
        <x:v>560</x:v>
      </x:c>
      <x:c r="D208" t="n">
        <x:v>368</x:v>
      </x:c>
      <x:c r="E208" s="22" t="n">
        <x:v>1415.36</x:v>
      </x:c>
      <x:c r="F208" t="n">
        <x:v>3</x:v>
      </x:c>
      <x:c r="G208" t="n">
        <x:v>2</x:v>
      </x:c>
      <x:c r="H208" s="20" t="n">
        <x:f>IFERROR(F208/B208,0)</x:f>
        <x:v>0.375</x:v>
      </x:c>
      <x:c r="I208" s="20" t="n">
        <x:f>IFERROR(G208/B208,0)</x:f>
        <x:v>0.25</x:v>
      </x:c>
      <x:c r="J208" s="20" t="n">
        <x:f>IFERROR(D208/C208,0)</x:f>
        <x:v>0.6571428571428571</x:v>
      </x:c>
      <x:c r="K208" t="str">
        <x:f>IF(B208&lt;Assumptions!$B$8,"Insufficient",IF(I208&lt;Assumptions!$B$9,"High",IF(I208&lt;Assumptions!$B$10,"Medium","Low")))</x:f>
        <x:v>High</x:v>
      </x:c>
      <x:c r="L208" t="n">
        <x:v>2</x:v>
      </x:c>
    </x:row>
    <x:row r="209" ht="18" customHeight="1">
      <x:c r="A209" t="str">
        <x:v>Thoughtstorm</x:v>
      </x:c>
      <x:c r="B209" t="n">
        <x:v>10</x:v>
      </x:c>
      <x:c r="C209" t="n">
        <x:v>233</x:v>
      </x:c>
      <x:c r="D209" t="n">
        <x:v>170</x:v>
      </x:c>
      <x:c r="E209" s="22" t="n">
        <x:v>1407.35</x:v>
      </x:c>
      <x:c r="F209" t="n">
        <x:v>6</x:v>
      </x:c>
      <x:c r="G209" t="n">
        <x:v>5</x:v>
      </x:c>
      <x:c r="H209" s="20" t="n">
        <x:f>IFERROR(F209/B209,0)</x:f>
        <x:v>0.6</x:v>
      </x:c>
      <x:c r="I209" s="20" t="n">
        <x:f>IFERROR(G209/B209,0)</x:f>
        <x:v>0.5</x:v>
      </x:c>
      <x:c r="J209" s="20" t="n">
        <x:f>IFERROR(D209/C209,0)</x:f>
        <x:v>0.7296137339055794</x:v>
      </x:c>
      <x:c r="K209" t="str">
        <x:f>IF(B209&lt;Assumptions!$B$8,"Insufficient",IF(I209&lt;Assumptions!$B$9,"High",IF(I209&lt;Assumptions!$B$10,"Medium","Low")))</x:f>
        <x:v>High</x:v>
      </x:c>
      <x:c r="L209" t="n">
        <x:v>2</x:v>
      </x:c>
    </x:row>
    <x:row r="210" ht="18" customHeight="1">
      <x:c r="A210" t="str">
        <x:v>Rhynyx</x:v>
      </x:c>
      <x:c r="B210" t="n">
        <x:v>8</x:v>
      </x:c>
      <x:c r="C210" t="n">
        <x:v>354</x:v>
      </x:c>
      <x:c r="D210" t="n">
        <x:v>354</x:v>
      </x:c>
      <x:c r="E210" s="22" t="n">
        <x:v>1392.15</x:v>
      </x:c>
      <x:c r="F210" t="n">
        <x:v>6</x:v>
      </x:c>
      <x:c r="G210" t="n">
        <x:v>6</x:v>
      </x:c>
      <x:c r="H210" s="20" t="n">
        <x:f>IFERROR(F210/B210,0)</x:f>
        <x:v>0.75</x:v>
      </x:c>
      <x:c r="I210" s="20" t="n">
        <x:f>IFERROR(G210/B210,0)</x:f>
        <x:v>0.75</x:v>
      </x:c>
      <x:c r="J210" s="20" t="n">
        <x:f>IFERROR(D210/C210,0)</x:f>
        <x:v>1</x:v>
      </x:c>
      <x:c r="K210" t="str">
        <x:f>IF(B210&lt;Assumptions!$B$8,"Insufficient",IF(I210&lt;Assumptions!$B$9,"High",IF(I210&lt;Assumptions!$B$10,"Medium","Low")))</x:f>
        <x:v>Medium</x:v>
      </x:c>
      <x:c r="L210" t="n">
        <x:v>0</x:v>
      </x:c>
    </x:row>
    <x:row r="211" ht="18" customHeight="1">
      <x:c r="A211" t="str">
        <x:v>Quire</x:v>
      </x:c>
      <x:c r="B211" t="n">
        <x:v>9</x:v>
      </x:c>
      <x:c r="C211" t="n">
        <x:v>456</x:v>
      </x:c>
      <x:c r="D211" t="n">
        <x:v>427</x:v>
      </x:c>
      <x:c r="E211" s="22" t="n">
        <x:v>1383.6</x:v>
      </x:c>
      <x:c r="F211" t="n">
        <x:v>6</x:v>
      </x:c>
      <x:c r="G211" t="n">
        <x:v>5</x:v>
      </x:c>
      <x:c r="H211" s="20" t="n">
        <x:f>IFERROR(F211/B211,0)</x:f>
        <x:v>0.6666666666666666</x:v>
      </x:c>
      <x:c r="I211" s="20" t="n">
        <x:f>IFERROR(G211/B211,0)</x:f>
        <x:v>0.5555555555555556</x:v>
      </x:c>
      <x:c r="J211" s="20" t="n">
        <x:f>IFERROR(D211/C211,0)</x:f>
        <x:v>0.9364035087719298</x:v>
      </x:c>
      <x:c r="K211" t="str">
        <x:f>IF(B211&lt;Assumptions!$B$8,"Insufficient",IF(I211&lt;Assumptions!$B$9,"High",IF(I211&lt;Assumptions!$B$10,"Medium","Low")))</x:f>
        <x:v>High</x:v>
      </x:c>
      <x:c r="L211" t="n">
        <x:v>0</x:v>
      </x:c>
    </x:row>
    <x:row r="212" ht="18" customHeight="1">
      <x:c r="A212" t="str">
        <x:v>Brightdog</x:v>
      </x:c>
      <x:c r="B212" t="n">
        <x:v>6</x:v>
      </x:c>
      <x:c r="C212" t="n">
        <x:v>485</x:v>
      </x:c>
      <x:c r="D212" t="n">
        <x:v>485</x:v>
      </x:c>
      <x:c r="E212" s="22" t="n">
        <x:v>1383.53</x:v>
      </x:c>
      <x:c r="F212" t="n">
        <x:v>5</x:v>
      </x:c>
      <x:c r="G212" t="n">
        <x:v>5</x:v>
      </x:c>
      <x:c r="H212" s="20" t="n">
        <x:f>IFERROR(F212/B212,0)</x:f>
        <x:v>0.8333333333333334</x:v>
      </x:c>
      <x:c r="I212" s="20" t="n">
        <x:f>IFERROR(G212/B212,0)</x:f>
        <x:v>0.8333333333333334</x:v>
      </x:c>
      <x:c r="J212" s="20" t="n">
        <x:f>IFERROR(D212/C212,0)</x:f>
        <x:v>1</x:v>
      </x:c>
      <x:c r="K212" t="str">
        <x:f>IF(B212&lt;Assumptions!$B$8,"Insufficient",IF(I212&lt;Assumptions!$B$9,"High",IF(I212&lt;Assumptions!$B$10,"Medium","Low")))</x:f>
        <x:v>Medium</x:v>
      </x:c>
      <x:c r="L212" t="n">
        <x:v>0</x:v>
      </x:c>
    </x:row>
    <x:row r="213" ht="18" customHeight="1">
      <x:c r="A213" t="str">
        <x:v>Jetwire</x:v>
      </x:c>
      <x:c r="B213" t="n">
        <x:v>5</x:v>
      </x:c>
      <x:c r="C213" t="n">
        <x:v>451</x:v>
      </x:c>
      <x:c r="D213" t="n">
        <x:v>443</x:v>
      </x:c>
      <x:c r="E213" s="22" t="n">
        <x:v>1361.28</x:v>
      </x:c>
      <x:c r="F213" t="n">
        <x:v>4</x:v>
      </x:c>
      <x:c r="G213" t="n">
        <x:v>3</x:v>
      </x:c>
      <x:c r="H213" s="20" t="n">
        <x:f>IFERROR(F213/B213,0)</x:f>
        <x:v>0.8</x:v>
      </x:c>
      <x:c r="I213" s="20" t="n">
        <x:f>IFERROR(G213/B213,0)</x:f>
        <x:v>0.6</x:v>
      </x:c>
      <x:c r="J213" s="20" t="n">
        <x:f>IFERROR(D213/C213,0)</x:f>
        <x:v>0.9822616407982262</x:v>
      </x:c>
      <x:c r="K213" t="str">
        <x:f>IF(B213&lt;Assumptions!$B$8,"Insufficient",IF(I213&lt;Assumptions!$B$9,"High",IF(I213&lt;Assumptions!$B$10,"Medium","Low")))</x:f>
        <x:v>High</x:v>
      </x:c>
      <x:c r="L213" t="n">
        <x:v>0</x:v>
      </x:c>
    </x:row>
    <x:row r="214" ht="18" customHeight="1">
      <x:c r="A214" t="str">
        <x:v>Wordtune</x:v>
      </x:c>
      <x:c r="B214" t="n">
        <x:v>7</x:v>
      </x:c>
      <x:c r="C214" t="n">
        <x:v>627</x:v>
      </x:c>
      <x:c r="D214" t="n">
        <x:v>627</x:v>
      </x:c>
      <x:c r="E214" s="22" t="n">
        <x:v>1358.71</x:v>
      </x:c>
      <x:c r="F214" t="n">
        <x:v>7</x:v>
      </x:c>
      <x:c r="G214" t="n">
        <x:v>7</x:v>
      </x:c>
      <x:c r="H214" s="20" t="n">
        <x:f>IFERROR(F214/B214,0)</x:f>
        <x:v>1</x:v>
      </x:c>
      <x:c r="I214" s="20" t="n">
        <x:f>IFERROR(G214/B214,0)</x:f>
        <x:v>1</x:v>
      </x:c>
      <x:c r="J214" s="20" t="n">
        <x:f>IFERROR(D214/C214,0)</x:f>
        <x:v>1</x:v>
      </x:c>
      <x:c r="K214" t="str">
        <x:f>IF(B214&lt;Assumptions!$B$8,"Insufficient",IF(I214&lt;Assumptions!$B$9,"High",IF(I214&lt;Assumptions!$B$10,"Medium","Low")))</x:f>
        <x:v>Low</x:v>
      </x:c>
      <x:c r="L214" t="n">
        <x:v>0</x:v>
      </x:c>
    </x:row>
    <x:row r="215" ht="18" customHeight="1">
      <x:c r="A215" t="str">
        <x:v>Reallinks</x:v>
      </x:c>
      <x:c r="B215" t="n">
        <x:v>5</x:v>
      </x:c>
      <x:c r="C215" t="n">
        <x:v>286</x:v>
      </x:c>
      <x:c r="D215" t="n">
        <x:v>286</x:v>
      </x:c>
      <x:c r="E215" s="22" t="n">
        <x:v>1350.63</x:v>
      </x:c>
      <x:c r="F215" t="n">
        <x:v>4</x:v>
      </x:c>
      <x:c r="G215" t="n">
        <x:v>4</x:v>
      </x:c>
      <x:c r="H215" s="20" t="n">
        <x:f>IFERROR(F215/B215,0)</x:f>
        <x:v>0.8</x:v>
      </x:c>
      <x:c r="I215" s="20" t="n">
        <x:f>IFERROR(G215/B215,0)</x:f>
        <x:v>0.8</x:v>
      </x:c>
      <x:c r="J215" s="20" t="n">
        <x:f>IFERROR(D215/C215,0)</x:f>
        <x:v>1</x:v>
      </x:c>
      <x:c r="K215" t="str">
        <x:f>IF(B215&lt;Assumptions!$B$8,"Insufficient",IF(I215&lt;Assumptions!$B$9,"High",IF(I215&lt;Assumptions!$B$10,"Medium","Low")))</x:f>
        <x:v>Medium</x:v>
      </x:c>
      <x:c r="L215" t="n">
        <x:v>0</x:v>
      </x:c>
    </x:row>
    <x:row r="216" ht="18" customHeight="1">
      <x:c r="A216" t="str">
        <x:v>Topiczoom</x:v>
      </x:c>
      <x:c r="B216" t="n">
        <x:v>4</x:v>
      </x:c>
      <x:c r="C216" t="n">
        <x:v>432</x:v>
      </x:c>
      <x:c r="D216" t="n">
        <x:v>432</x:v>
      </x:c>
      <x:c r="E216" s="22" t="n">
        <x:v>1347.36</x:v>
      </x:c>
      <x:c r="F216" t="n">
        <x:v>2</x:v>
      </x:c>
      <x:c r="G216" t="n">
        <x:v>2</x:v>
      </x:c>
      <x:c r="H216" s="20" t="n">
        <x:f>IFERROR(F216/B216,0)</x:f>
        <x:v>0.5</x:v>
      </x:c>
      <x:c r="I216" s="20" t="n">
        <x:f>IFERROR(G216/B216,0)</x:f>
        <x:v>0.5</x:v>
      </x:c>
      <x:c r="J216" s="20" t="n">
        <x:f>IFERROR(D216/C216,0)</x:f>
        <x:v>1</x:v>
      </x:c>
      <x:c r="K216" t="str">
        <x:f>IF(B216&lt;Assumptions!$B$8,"Insufficient",IF(I216&lt;Assumptions!$B$9,"High",IF(I216&lt;Assumptions!$B$10,"Medium","Low")))</x:f>
        <x:v>Insufficient</x:v>
      </x:c>
      <x:c r="L216" t="n">
        <x:v>0</x:v>
      </x:c>
    </x:row>
    <x:row r="217" ht="18" customHeight="1">
      <x:c r="A217" t="str">
        <x:v>Mudo</x:v>
      </x:c>
      <x:c r="B217" t="n">
        <x:v>9</x:v>
      </x:c>
      <x:c r="C217" t="n">
        <x:v>678</x:v>
      </x:c>
      <x:c r="D217" t="n">
        <x:v>653</x:v>
      </x:c>
      <x:c r="E217" s="22" t="n">
        <x:v>1347.28</x:v>
      </x:c>
      <x:c r="F217" t="n">
        <x:v>8</x:v>
      </x:c>
      <x:c r="G217" t="n">
        <x:v>8</x:v>
      </x:c>
      <x:c r="H217" s="20" t="n">
        <x:f>IFERROR(F217/B217,0)</x:f>
        <x:v>0.8888888888888888</x:v>
      </x:c>
      <x:c r="I217" s="20" t="n">
        <x:f>IFERROR(G217/B217,0)</x:f>
        <x:v>0.8888888888888888</x:v>
      </x:c>
      <x:c r="J217" s="20" t="n">
        <x:f>IFERROR(D217/C217,0)</x:f>
        <x:v>0.9631268436578171</x:v>
      </x:c>
      <x:c r="K217" t="str">
        <x:f>IF(B217&lt;Assumptions!$B$8,"Insufficient",IF(I217&lt;Assumptions!$B$9,"High",IF(I217&lt;Assumptions!$B$10,"Medium","Low")))</x:f>
        <x:v>Low</x:v>
      </x:c>
      <x:c r="L217" t="n">
        <x:v>0</x:v>
      </x:c>
    </x:row>
    <x:row r="218" ht="18" customHeight="1">
      <x:c r="A218" t="str">
        <x:v>Skyble</x:v>
      </x:c>
      <x:c r="B218" t="n">
        <x:v>9</x:v>
      </x:c>
      <x:c r="C218" t="n">
        <x:v>805</x:v>
      </x:c>
      <x:c r="D218" t="n">
        <x:v>805</x:v>
      </x:c>
      <x:c r="E218" s="22" t="n">
        <x:v>1344.05</x:v>
      </x:c>
      <x:c r="F218" t="n">
        <x:v>5</x:v>
      </x:c>
      <x:c r="G218" t="n">
        <x:v>5</x:v>
      </x:c>
      <x:c r="H218" s="20" t="n">
        <x:f>IFERROR(F218/B218,0)</x:f>
        <x:v>0.5555555555555556</x:v>
      </x:c>
      <x:c r="I218" s="20" t="n">
        <x:f>IFERROR(G218/B218,0)</x:f>
        <x:v>0.5555555555555556</x:v>
      </x:c>
      <x:c r="J218" s="20" t="n">
        <x:f>IFERROR(D218/C218,0)</x:f>
        <x:v>1</x:v>
      </x:c>
      <x:c r="K218" t="str">
        <x:f>IF(B218&lt;Assumptions!$B$8,"Insufficient",IF(I218&lt;Assumptions!$B$9,"High",IF(I218&lt;Assumptions!$B$10,"Medium","Low")))</x:f>
        <x:v>High</x:v>
      </x:c>
      <x:c r="L218" t="n">
        <x:v>0</x:v>
      </x:c>
    </x:row>
    <x:row r="219" ht="18" customHeight="1">
      <x:c r="A219" t="str">
        <x:v>Divape</x:v>
      </x:c>
      <x:c r="B219" t="n">
        <x:v>4</x:v>
      </x:c>
      <x:c r="C219" t="n">
        <x:v>346</x:v>
      </x:c>
      <x:c r="D219" t="n">
        <x:v>289</x:v>
      </x:c>
      <x:c r="E219" s="22" t="n">
        <x:v>1330.06</x:v>
      </x:c>
      <x:c r="F219" t="n">
        <x:v>3</x:v>
      </x:c>
      <x:c r="G219" t="n">
        <x:v>3</x:v>
      </x:c>
      <x:c r="H219" s="20" t="n">
        <x:f>IFERROR(F219/B219,0)</x:f>
        <x:v>0.75</x:v>
      </x:c>
      <x:c r="I219" s="20" t="n">
        <x:f>IFERROR(G219/B219,0)</x:f>
        <x:v>0.75</x:v>
      </x:c>
      <x:c r="J219" s="20" t="n">
        <x:f>IFERROR(D219/C219,0)</x:f>
        <x:v>0.8352601156069365</x:v>
      </x:c>
      <x:c r="K219" t="str">
        <x:f>IF(B219&lt;Assumptions!$B$8,"Insufficient",IF(I219&lt;Assumptions!$B$9,"High",IF(I219&lt;Assumptions!$B$10,"Medium","Low")))</x:f>
        <x:v>Insufficient</x:v>
      </x:c>
      <x:c r="L219" t="n">
        <x:v>1</x:v>
      </x:c>
    </x:row>
    <x:row r="220" ht="18" customHeight="1">
      <x:c r="A220" t="str">
        <x:v>Aimbu</x:v>
      </x:c>
      <x:c r="B220" t="n">
        <x:v>4</x:v>
      </x:c>
      <x:c r="C220" t="n">
        <x:v>134</x:v>
      </x:c>
      <x:c r="D220" t="n">
        <x:v>134</x:v>
      </x:c>
      <x:c r="E220" s="22" t="n">
        <x:v>1326.06</x:v>
      </x:c>
      <x:c r="F220" t="n">
        <x:v>4</x:v>
      </x:c>
      <x:c r="G220" t="n">
        <x:v>4</x:v>
      </x:c>
      <x:c r="H220" s="20" t="n">
        <x:f>IFERROR(F220/B220,0)</x:f>
        <x:v>1</x:v>
      </x:c>
      <x:c r="I220" s="20" t="n">
        <x:f>IFERROR(G220/B220,0)</x:f>
        <x:v>1</x:v>
      </x:c>
      <x:c r="J220" s="20" t="n">
        <x:f>IFERROR(D220/C220,0)</x:f>
        <x:v>1</x:v>
      </x:c>
      <x:c r="K220" t="str">
        <x:f>IF(B220&lt;Assumptions!$B$8,"Insufficient",IF(I220&lt;Assumptions!$B$9,"High",IF(I220&lt;Assumptions!$B$10,"Medium","Low")))</x:f>
        <x:v>Insufficient</x:v>
      </x:c>
      <x:c r="L220" t="n">
        <x:v>0</x:v>
      </x:c>
    </x:row>
    <x:row r="221" ht="18" customHeight="1">
      <x:c r="A221" t="str">
        <x:v>Realblab</x:v>
      </x:c>
      <x:c r="B221" t="n">
        <x:v>14</x:v>
      </x:c>
      <x:c r="C221" t="n">
        <x:v>867</x:v>
      </x:c>
      <x:c r="D221" t="n">
        <x:v>867</x:v>
      </x:c>
      <x:c r="E221" s="22" t="n">
        <x:v>1281.39</x:v>
      </x:c>
      <x:c r="F221" t="n">
        <x:v>11</x:v>
      </x:c>
      <x:c r="G221" t="n">
        <x:v>11</x:v>
      </x:c>
      <x:c r="H221" s="20" t="n">
        <x:f>IFERROR(F221/B221,0)</x:f>
        <x:v>0.7857142857142857</x:v>
      </x:c>
      <x:c r="I221" s="20" t="n">
        <x:f>IFERROR(G221/B221,0)</x:f>
        <x:v>0.7857142857142857</x:v>
      </x:c>
      <x:c r="J221" s="20" t="n">
        <x:f>IFERROR(D221/C221,0)</x:f>
        <x:v>1</x:v>
      </x:c>
      <x:c r="K221" t="str">
        <x:f>IF(B221&lt;Assumptions!$B$8,"Insufficient",IF(I221&lt;Assumptions!$B$9,"High",IF(I221&lt;Assumptions!$B$10,"Medium","Low")))</x:f>
        <x:v>Medium</x:v>
      </x:c>
      <x:c r="L221" t="n">
        <x:v>0</x:v>
      </x:c>
    </x:row>
    <x:row r="222" ht="18" customHeight="1">
      <x:c r="A222" t="str">
        <x:v>Gigabox</x:v>
      </x:c>
      <x:c r="B222" t="n">
        <x:v>9</x:v>
      </x:c>
      <x:c r="C222" t="n">
        <x:v>897</x:v>
      </x:c>
      <x:c r="D222" t="n">
        <x:v>830</x:v>
      </x:c>
      <x:c r="E222" s="22" t="n">
        <x:v>1280.53</x:v>
      </x:c>
      <x:c r="F222" t="n">
        <x:v>6</x:v>
      </x:c>
      <x:c r="G222" t="n">
        <x:v>5</x:v>
      </x:c>
      <x:c r="H222" s="20" t="n">
        <x:f>IFERROR(F222/B222,0)</x:f>
        <x:v>0.6666666666666666</x:v>
      </x:c>
      <x:c r="I222" s="20" t="n">
        <x:f>IFERROR(G222/B222,0)</x:f>
        <x:v>0.5555555555555556</x:v>
      </x:c>
      <x:c r="J222" s="20" t="n">
        <x:f>IFERROR(D222/C222,0)</x:f>
        <x:v>0.9253065774804905</x:v>
      </x:c>
      <x:c r="K222" t="str">
        <x:f>IF(B222&lt;Assumptions!$B$8,"Insufficient",IF(I222&lt;Assumptions!$B$9,"High",IF(I222&lt;Assumptions!$B$10,"Medium","Low")))</x:f>
        <x:v>High</x:v>
      </x:c>
      <x:c r="L222" t="n">
        <x:v>1</x:v>
      </x:c>
    </x:row>
    <x:row r="223" ht="18" customHeight="1">
      <x:c r="A223" t="str">
        <x:v>Voonyx</x:v>
      </x:c>
      <x:c r="B223" t="n">
        <x:v>6</x:v>
      </x:c>
      <x:c r="C223" t="n">
        <x:v>195</x:v>
      </x:c>
      <x:c r="D223" t="n">
        <x:v>195</x:v>
      </x:c>
      <x:c r="E223" s="22" t="n">
        <x:v>1278.75</x:v>
      </x:c>
      <x:c r="F223" t="n">
        <x:v>4</x:v>
      </x:c>
      <x:c r="G223" t="n">
        <x:v>4</x:v>
      </x:c>
      <x:c r="H223" s="20" t="n">
        <x:f>IFERROR(F223/B223,0)</x:f>
        <x:v>0.6666666666666666</x:v>
      </x:c>
      <x:c r="I223" s="20" t="n">
        <x:f>IFERROR(G223/B223,0)</x:f>
        <x:v>0.6666666666666666</x:v>
      </x:c>
      <x:c r="J223" s="20" t="n">
        <x:f>IFERROR(D223/C223,0)</x:f>
        <x:v>1</x:v>
      </x:c>
      <x:c r="K223" t="str">
        <x:f>IF(B223&lt;Assumptions!$B$8,"Insufficient",IF(I223&lt;Assumptions!$B$9,"High",IF(I223&lt;Assumptions!$B$10,"Medium","Low")))</x:f>
        <x:v>Medium</x:v>
      </x:c>
      <x:c r="L223" t="n">
        <x:v>0</x:v>
      </x:c>
    </x:row>
    <x:row r="224" ht="18" customHeight="1">
      <x:c r="A224" t="str">
        <x:v>Tazz</x:v>
      </x:c>
      <x:c r="B224" t="n">
        <x:v>8</x:v>
      </x:c>
      <x:c r="C224" t="n">
        <x:v>469</x:v>
      </x:c>
      <x:c r="D224" t="n">
        <x:v>466</x:v>
      </x:c>
      <x:c r="E224" s="22" t="n">
        <x:v>1272.92</x:v>
      </x:c>
      <x:c r="F224" t="n">
        <x:v>4</x:v>
      </x:c>
      <x:c r="G224" t="n">
        <x:v>3</x:v>
      </x:c>
      <x:c r="H224" s="20" t="n">
        <x:f>IFERROR(F224/B224,0)</x:f>
        <x:v>0.5</x:v>
      </x:c>
      <x:c r="I224" s="20" t="n">
        <x:f>IFERROR(G224/B224,0)</x:f>
        <x:v>0.375</x:v>
      </x:c>
      <x:c r="J224" s="20" t="n">
        <x:f>IFERROR(D224/C224,0)</x:f>
        <x:v>0.9936034115138592</x:v>
      </x:c>
      <x:c r="K224" t="str">
        <x:f>IF(B224&lt;Assumptions!$B$8,"Insufficient",IF(I224&lt;Assumptions!$B$9,"High",IF(I224&lt;Assumptions!$B$10,"Medium","Low")))</x:f>
        <x:v>High</x:v>
      </x:c>
      <x:c r="L224" t="n">
        <x:v>0</x:v>
      </x:c>
    </x:row>
    <x:row r="225" ht="18" customHeight="1">
      <x:c r="A225" t="str">
        <x:v>Ntag</x:v>
      </x:c>
      <x:c r="B225" t="n">
        <x:v>5</x:v>
      </x:c>
      <x:c r="C225" t="n">
        <x:v>266</x:v>
      </x:c>
      <x:c r="D225" t="n">
        <x:v>238</x:v>
      </x:c>
      <x:c r="E225" s="22" t="n">
        <x:v>1271.19</x:v>
      </x:c>
      <x:c r="F225" t="n">
        <x:v>3</x:v>
      </x:c>
      <x:c r="G225" t="n">
        <x:v>2</x:v>
      </x:c>
      <x:c r="H225" s="20" t="n">
        <x:f>IFERROR(F225/B225,0)</x:f>
        <x:v>0.6</x:v>
      </x:c>
      <x:c r="I225" s="20" t="n">
        <x:f>IFERROR(G225/B225,0)</x:f>
        <x:v>0.4</x:v>
      </x:c>
      <x:c r="J225" s="20" t="n">
        <x:f>IFERROR(D225/C225,0)</x:f>
        <x:v>0.8947368421052632</x:v>
      </x:c>
      <x:c r="K225" t="str">
        <x:f>IF(B225&lt;Assumptions!$B$8,"Insufficient",IF(I225&lt;Assumptions!$B$9,"High",IF(I225&lt;Assumptions!$B$10,"Medium","Low")))</x:f>
        <x:v>High</x:v>
      </x:c>
      <x:c r="L225" t="n">
        <x:v>0</x:v>
      </x:c>
    </x:row>
    <x:row r="226" ht="18" customHeight="1">
      <x:c r="A226" t="str">
        <x:v>LiveZ</x:v>
      </x:c>
      <x:c r="B226" t="n">
        <x:v>7</x:v>
      </x:c>
      <x:c r="C226" t="n">
        <x:v>227</x:v>
      </x:c>
      <x:c r="D226" t="n">
        <x:v>197</x:v>
      </x:c>
      <x:c r="E226" s="22" t="n">
        <x:v>1259.05</x:v>
      </x:c>
      <x:c r="F226" t="n">
        <x:v>4</x:v>
      </x:c>
      <x:c r="G226" t="n">
        <x:v>4</x:v>
      </x:c>
      <x:c r="H226" s="20" t="n">
        <x:f>IFERROR(F226/B226,0)</x:f>
        <x:v>0.5714285714285714</x:v>
      </x:c>
      <x:c r="I226" s="20" t="n">
        <x:f>IFERROR(G226/B226,0)</x:f>
        <x:v>0.5714285714285714</x:v>
      </x:c>
      <x:c r="J226" s="20" t="n">
        <x:f>IFERROR(D226/C226,0)</x:f>
        <x:v>0.8678414096916299</x:v>
      </x:c>
      <x:c r="K226" t="str">
        <x:f>IF(B226&lt;Assumptions!$B$8,"Insufficient",IF(I226&lt;Assumptions!$B$9,"High",IF(I226&lt;Assumptions!$B$10,"Medium","Low")))</x:f>
        <x:v>High</x:v>
      </x:c>
      <x:c r="L226" t="n">
        <x:v>1</x:v>
      </x:c>
    </x:row>
    <x:row r="227" ht="18" customHeight="1">
      <x:c r="A227" t="str">
        <x:v>Topicshots</x:v>
      </x:c>
      <x:c r="B227" t="n">
        <x:v>8</x:v>
      </x:c>
      <x:c r="C227" t="n">
        <x:v>536</x:v>
      </x:c>
      <x:c r="D227" t="n">
        <x:v>504</x:v>
      </x:c>
      <x:c r="E227" s="22" t="n">
        <x:v>1256.44</x:v>
      </x:c>
      <x:c r="F227" t="n">
        <x:v>4</x:v>
      </x:c>
      <x:c r="G227" t="n">
        <x:v>4</x:v>
      </x:c>
      <x:c r="H227" s="20" t="n">
        <x:f>IFERROR(F227/B227,0)</x:f>
        <x:v>0.5</x:v>
      </x:c>
      <x:c r="I227" s="20" t="n">
        <x:f>IFERROR(G227/B227,0)</x:f>
        <x:v>0.5</x:v>
      </x:c>
      <x:c r="J227" s="20" t="n">
        <x:f>IFERROR(D227/C227,0)</x:f>
        <x:v>0.9402985074626866</x:v>
      </x:c>
      <x:c r="K227" t="str">
        <x:f>IF(B227&lt;Assumptions!$B$8,"Insufficient",IF(I227&lt;Assumptions!$B$9,"High",IF(I227&lt;Assumptions!$B$10,"Medium","Low")))</x:f>
        <x:v>High</x:v>
      </x:c>
      <x:c r="L227" t="n">
        <x:v>1</x:v>
      </x:c>
    </x:row>
    <x:row r="228" ht="18" customHeight="1">
      <x:c r="A228" t="str">
        <x:v>Ainyx</x:v>
      </x:c>
      <x:c r="B228" t="n">
        <x:v>9</x:v>
      </x:c>
      <x:c r="C228" t="n">
        <x:v>742</x:v>
      </x:c>
      <x:c r="D228" t="n">
        <x:v>720</x:v>
      </x:c>
      <x:c r="E228" s="22" t="n">
        <x:v>1245.75</x:v>
      </x:c>
      <x:c r="F228" t="n">
        <x:v>8</x:v>
      </x:c>
      <x:c r="G228" t="n">
        <x:v>7</x:v>
      </x:c>
      <x:c r="H228" s="20" t="n">
        <x:f>IFERROR(F228/B228,0)</x:f>
        <x:v>0.8888888888888888</x:v>
      </x:c>
      <x:c r="I228" s="20" t="n">
        <x:f>IFERROR(G228/B228,0)</x:f>
        <x:v>0.7777777777777778</x:v>
      </x:c>
      <x:c r="J228" s="20" t="n">
        <x:f>IFERROR(D228/C228,0)</x:f>
        <x:v>0.9703504043126685</x:v>
      </x:c>
      <x:c r="K228" t="str">
        <x:f>IF(B228&lt;Assumptions!$B$8,"Insufficient",IF(I228&lt;Assumptions!$B$9,"High",IF(I228&lt;Assumptions!$B$10,"Medium","Low")))</x:f>
        <x:v>Medium</x:v>
      </x:c>
      <x:c r="L228" t="n">
        <x:v>0</x:v>
      </x:c>
    </x:row>
    <x:row r="229" ht="18" customHeight="1">
      <x:c r="A229" t="str">
        <x:v>Skibox</x:v>
      </x:c>
      <x:c r="B229" t="n">
        <x:v>11</x:v>
      </x:c>
      <x:c r="C229" t="n">
        <x:v>929</x:v>
      </x:c>
      <x:c r="D229" t="n">
        <x:v>929</x:v>
      </x:c>
      <x:c r="E229" s="22" t="n">
        <x:v>1241.62</x:v>
      </x:c>
      <x:c r="F229" t="n">
        <x:v>7</x:v>
      </x:c>
      <x:c r="G229" t="n">
        <x:v>7</x:v>
      </x:c>
      <x:c r="H229" s="20" t="n">
        <x:f>IFERROR(F229/B229,0)</x:f>
        <x:v>0.6363636363636364</x:v>
      </x:c>
      <x:c r="I229" s="20" t="n">
        <x:f>IFERROR(G229/B229,0)</x:f>
        <x:v>0.6363636363636364</x:v>
      </x:c>
      <x:c r="J229" s="20" t="n">
        <x:f>IFERROR(D229/C229,0)</x:f>
        <x:v>1</x:v>
      </x:c>
      <x:c r="K229" t="str">
        <x:f>IF(B229&lt;Assumptions!$B$8,"Insufficient",IF(I229&lt;Assumptions!$B$9,"High",IF(I229&lt;Assumptions!$B$10,"Medium","Low")))</x:f>
        <x:v>High</x:v>
      </x:c>
      <x:c r="L229" t="n">
        <x:v>0</x:v>
      </x:c>
    </x:row>
    <x:row r="230" ht="18" customHeight="1">
      <x:c r="A230" t="str">
        <x:v>Brainbox</x:v>
      </x:c>
      <x:c r="B230" t="n">
        <x:v>3</x:v>
      </x:c>
      <x:c r="C230" t="n">
        <x:v>316</x:v>
      </x:c>
      <x:c r="D230" t="n">
        <x:v>316</x:v>
      </x:c>
      <x:c r="E230" s="22" t="n">
        <x:v>1225.82</x:v>
      </x:c>
      <x:c r="F230" t="n">
        <x:v>3</x:v>
      </x:c>
      <x:c r="G230" t="n">
        <x:v>3</x:v>
      </x:c>
      <x:c r="H230" s="20" t="n">
        <x:f>IFERROR(F230/B230,0)</x:f>
        <x:v>1</x:v>
      </x:c>
      <x:c r="I230" s="20" t="n">
        <x:f>IFERROR(G230/B230,0)</x:f>
        <x:v>1</x:v>
      </x:c>
      <x:c r="J230" s="20" t="n">
        <x:f>IFERROR(D230/C230,0)</x:f>
        <x:v>1</x:v>
      </x:c>
      <x:c r="K230" t="str">
        <x:f>IF(B230&lt;Assumptions!$B$8,"Insufficient",IF(I230&lt;Assumptions!$B$9,"High",IF(I230&lt;Assumptions!$B$10,"Medium","Low")))</x:f>
        <x:v>Insufficient</x:v>
      </x:c>
      <x:c r="L230" t="n">
        <x:v>0</x:v>
      </x:c>
    </x:row>
    <x:row r="231" ht="18" customHeight="1">
      <x:c r="A231" t="str">
        <x:v>Oyondu</x:v>
      </x:c>
      <x:c r="B231" t="n">
        <x:v>11</x:v>
      </x:c>
      <x:c r="C231" t="n">
        <x:v>626</x:v>
      </x:c>
      <x:c r="D231" t="n">
        <x:v>610</x:v>
      </x:c>
      <x:c r="E231" s="22" t="n">
        <x:v>1223.31</x:v>
      </x:c>
      <x:c r="F231" t="n">
        <x:v>7</x:v>
      </x:c>
      <x:c r="G231" t="n">
        <x:v>6</x:v>
      </x:c>
      <x:c r="H231" s="20" t="n">
        <x:f>IFERROR(F231/B231,0)</x:f>
        <x:v>0.6363636363636364</x:v>
      </x:c>
      <x:c r="I231" s="20" t="n">
        <x:f>IFERROR(G231/B231,0)</x:f>
        <x:v>0.5454545454545454</x:v>
      </x:c>
      <x:c r="J231" s="20" t="n">
        <x:f>IFERROR(D231/C231,0)</x:f>
        <x:v>0.9744408945686901</x:v>
      </x:c>
      <x:c r="K231" t="str">
        <x:f>IF(B231&lt;Assumptions!$B$8,"Insufficient",IF(I231&lt;Assumptions!$B$9,"High",IF(I231&lt;Assumptions!$B$10,"Medium","Low")))</x:f>
        <x:v>High</x:v>
      </x:c>
      <x:c r="L231" t="n">
        <x:v>0</x:v>
      </x:c>
    </x:row>
    <x:row r="232" ht="18" customHeight="1">
      <x:c r="A232" t="str">
        <x:v>Oyoyo</x:v>
      </x:c>
      <x:c r="B232" t="n">
        <x:v>7</x:v>
      </x:c>
      <x:c r="C232" t="n">
        <x:v>223</x:v>
      </x:c>
      <x:c r="D232" t="n">
        <x:v>173</x:v>
      </x:c>
      <x:c r="E232" s="22" t="n">
        <x:v>1207.07</x:v>
      </x:c>
      <x:c r="F232" t="n">
        <x:v>5</x:v>
      </x:c>
      <x:c r="G232" t="n">
        <x:v>5</x:v>
      </x:c>
      <x:c r="H232" s="20" t="n">
        <x:f>IFERROR(F232/B232,0)</x:f>
        <x:v>0.7142857142857143</x:v>
      </x:c>
      <x:c r="I232" s="20" t="n">
        <x:f>IFERROR(G232/B232,0)</x:f>
        <x:v>0.7142857142857143</x:v>
      </x:c>
      <x:c r="J232" s="20" t="n">
        <x:f>IFERROR(D232/C232,0)</x:f>
        <x:v>0.7757847533632287</x:v>
      </x:c>
      <x:c r="K232" t="str">
        <x:f>IF(B232&lt;Assumptions!$B$8,"Insufficient",IF(I232&lt;Assumptions!$B$9,"High",IF(I232&lt;Assumptions!$B$10,"Medium","Low")))</x:f>
        <x:v>Medium</x:v>
      </x:c>
      <x:c r="L232" t="n">
        <x:v>1</x:v>
      </x:c>
    </x:row>
    <x:row r="233" ht="18" customHeight="1">
      <x:c r="A233" t="str">
        <x:v>Trunyx</x:v>
      </x:c>
      <x:c r="B233" t="n">
        <x:v>9</x:v>
      </x:c>
      <x:c r="C233" t="n">
        <x:v>799</x:v>
      </x:c>
      <x:c r="D233" t="n">
        <x:v>791</x:v>
      </x:c>
      <x:c r="E233" s="22" t="n">
        <x:v>1189.29</x:v>
      </x:c>
      <x:c r="F233" t="n">
        <x:v>7</x:v>
      </x:c>
      <x:c r="G233" t="n">
        <x:v>6</x:v>
      </x:c>
      <x:c r="H233" s="20" t="n">
        <x:f>IFERROR(F233/B233,0)</x:f>
        <x:v>0.7777777777777778</x:v>
      </x:c>
      <x:c r="I233" s="20" t="n">
        <x:f>IFERROR(G233/B233,0)</x:f>
        <x:v>0.6666666666666666</x:v>
      </x:c>
      <x:c r="J233" s="20" t="n">
        <x:f>IFERROR(D233/C233,0)</x:f>
        <x:v>0.9899874843554443</x:v>
      </x:c>
      <x:c r="K233" t="str">
        <x:f>IF(B233&lt;Assumptions!$B$8,"Insufficient",IF(I233&lt;Assumptions!$B$9,"High",IF(I233&lt;Assumptions!$B$10,"Medium","Low")))</x:f>
        <x:v>Medium</x:v>
      </x:c>
      <x:c r="L233" t="n">
        <x:v>0</x:v>
      </x:c>
    </x:row>
    <x:row r="234" ht="18" customHeight="1">
      <x:c r="A234" t="str">
        <x:v>Ntags</x:v>
      </x:c>
      <x:c r="B234" t="n">
        <x:v>7</x:v>
      </x:c>
      <x:c r="C234" t="n">
        <x:v>370</x:v>
      </x:c>
      <x:c r="D234" t="n">
        <x:v>304</x:v>
      </x:c>
      <x:c r="E234" s="22" t="n">
        <x:v>1131.11</x:v>
      </x:c>
      <x:c r="F234" t="n">
        <x:v>4</x:v>
      </x:c>
      <x:c r="G234" t="n">
        <x:v>2</x:v>
      </x:c>
      <x:c r="H234" s="20" t="n">
        <x:f>IFERROR(F234/B234,0)</x:f>
        <x:v>0.5714285714285714</x:v>
      </x:c>
      <x:c r="I234" s="20" t="n">
        <x:f>IFERROR(G234/B234,0)</x:f>
        <x:v>0.2857142857142857</x:v>
      </x:c>
      <x:c r="J234" s="20" t="n">
        <x:f>IFERROR(D234/C234,0)</x:f>
        <x:v>0.8216216216216217</x:v>
      </x:c>
      <x:c r="K234" t="str">
        <x:f>IF(B234&lt;Assumptions!$B$8,"Insufficient",IF(I234&lt;Assumptions!$B$9,"High",IF(I234&lt;Assumptions!$B$10,"Medium","Low")))</x:f>
        <x:v>High</x:v>
      </x:c>
      <x:c r="L234" t="n">
        <x:v>0</x:v>
      </x:c>
    </x:row>
    <x:row r="235" ht="18" customHeight="1">
      <x:c r="A235" t="str">
        <x:v>Blogspan</x:v>
      </x:c>
      <x:c r="B235" t="n">
        <x:v>6</x:v>
      </x:c>
      <x:c r="C235" t="n">
        <x:v>232</x:v>
      </x:c>
      <x:c r="D235" t="n">
        <x:v>201</x:v>
      </x:c>
      <x:c r="E235" s="22" t="n">
        <x:v>1111.73</x:v>
      </x:c>
      <x:c r="F235" t="n">
        <x:v>3</x:v>
      </x:c>
      <x:c r="G235" t="n">
        <x:v>3</x:v>
      </x:c>
      <x:c r="H235" s="20" t="n">
        <x:f>IFERROR(F235/B235,0)</x:f>
        <x:v>0.5</x:v>
      </x:c>
      <x:c r="I235" s="20" t="n">
        <x:f>IFERROR(G235/B235,0)</x:f>
        <x:v>0.5</x:v>
      </x:c>
      <x:c r="J235" s="20" t="n">
        <x:f>IFERROR(D235/C235,0)</x:f>
        <x:v>0.8663793103448276</x:v>
      </x:c>
      <x:c r="K235" t="str">
        <x:f>IF(B235&lt;Assumptions!$B$8,"Insufficient",IF(I235&lt;Assumptions!$B$9,"High",IF(I235&lt;Assumptions!$B$10,"Medium","Low")))</x:f>
        <x:v>High</x:v>
      </x:c>
      <x:c r="L235" t="n">
        <x:v>1</x:v>
      </x:c>
    </x:row>
    <x:row r="236" ht="18" customHeight="1">
      <x:c r="A236" t="str">
        <x:v>Browseblab</x:v>
      </x:c>
      <x:c r="B236" t="n">
        <x:v>8</x:v>
      </x:c>
      <x:c r="C236" t="n">
        <x:v>547</x:v>
      </x:c>
      <x:c r="D236" t="n">
        <x:v>499</x:v>
      </x:c>
      <x:c r="E236" s="22" t="n">
        <x:v>1089.89</x:v>
      </x:c>
      <x:c r="F236" t="n">
        <x:v>6</x:v>
      </x:c>
      <x:c r="G236" t="n">
        <x:v>4</x:v>
      </x:c>
      <x:c r="H236" s="20" t="n">
        <x:f>IFERROR(F236/B236,0)</x:f>
        <x:v>0.75</x:v>
      </x:c>
      <x:c r="I236" s="20" t="n">
        <x:f>IFERROR(G236/B236,0)</x:f>
        <x:v>0.5</x:v>
      </x:c>
      <x:c r="J236" s="20" t="n">
        <x:f>IFERROR(D236/C236,0)</x:f>
        <x:v>0.9122486288848263</x:v>
      </x:c>
      <x:c r="K236" t="str">
        <x:f>IF(B236&lt;Assumptions!$B$8,"Insufficient",IF(I236&lt;Assumptions!$B$9,"High",IF(I236&lt;Assumptions!$B$10,"Medium","Low")))</x:f>
        <x:v>High</x:v>
      </x:c>
      <x:c r="L236" t="n">
        <x:v>0</x:v>
      </x:c>
    </x:row>
    <x:row r="237" ht="18" customHeight="1">
      <x:c r="A237" t="str">
        <x:v>Twitterworks</x:v>
      </x:c>
      <x:c r="B237" t="n">
        <x:v>2</x:v>
      </x:c>
      <x:c r="C237" t="n">
        <x:v>222</x:v>
      </x:c>
      <x:c r="D237" t="n">
        <x:v>200</x:v>
      </x:c>
      <x:c r="E237" s="22" t="n">
        <x:v>1086.68</x:v>
      </x:c>
      <x:c r="F237" t="n">
        <x:v>1</x:v>
      </x:c>
      <x:c r="G237" t="n">
        <x:v>1</x:v>
      </x:c>
      <x:c r="H237" s="20" t="n">
        <x:f>IFERROR(F237/B237,0)</x:f>
        <x:v>0.5</x:v>
      </x:c>
      <x:c r="I237" s="20" t="n">
        <x:f>IFERROR(G237/B237,0)</x:f>
        <x:v>0.5</x:v>
      </x:c>
      <x:c r="J237" s="20" t="n">
        <x:f>IFERROR(D237/C237,0)</x:f>
        <x:v>0.9009009009009009</x:v>
      </x:c>
      <x:c r="K237" t="str">
        <x:f>IF(B237&lt;Assumptions!$B$8,"Insufficient",IF(I237&lt;Assumptions!$B$9,"High",IF(I237&lt;Assumptions!$B$10,"Medium","Low")))</x:f>
        <x:v>Insufficient</x:v>
      </x:c>
      <x:c r="L237" t="n">
        <x:v>0</x:v>
      </x:c>
    </x:row>
    <x:row r="238" ht="18" customHeight="1">
      <x:c r="A238" t="str">
        <x:v>Vimbo</x:v>
      </x:c>
      <x:c r="B238" t="n">
        <x:v>12</x:v>
      </x:c>
      <x:c r="C238" t="n">
        <x:v>535</x:v>
      </x:c>
      <x:c r="D238" t="n">
        <x:v>495</x:v>
      </x:c>
      <x:c r="E238" s="22" t="n">
        <x:v>1081.79</x:v>
      </x:c>
      <x:c r="F238" t="n">
        <x:v>10</x:v>
      </x:c>
      <x:c r="G238" t="n">
        <x:v>9</x:v>
      </x:c>
      <x:c r="H238" s="20" t="n">
        <x:f>IFERROR(F238/B238,0)</x:f>
        <x:v>0.8333333333333334</x:v>
      </x:c>
      <x:c r="I238" s="20" t="n">
        <x:f>IFERROR(G238/B238,0)</x:f>
        <x:v>0.75</x:v>
      </x:c>
      <x:c r="J238" s="20" t="n">
        <x:f>IFERROR(D238/C238,0)</x:f>
        <x:v>0.9252336448598131</x:v>
      </x:c>
      <x:c r="K238" t="str">
        <x:f>IF(B238&lt;Assumptions!$B$8,"Insufficient",IF(I238&lt;Assumptions!$B$9,"High",IF(I238&lt;Assumptions!$B$10,"Medium","Low")))</x:f>
        <x:v>Medium</x:v>
      </x:c>
      <x:c r="L238" t="n">
        <x:v>1</x:v>
      </x:c>
    </x:row>
    <x:row r="239" ht="18" customHeight="1">
      <x:c r="A239" t="str">
        <x:v>Snaptags</x:v>
      </x:c>
      <x:c r="B239" t="n">
        <x:v>6</x:v>
      </x:c>
      <x:c r="C239" t="n">
        <x:v>334</x:v>
      </x:c>
      <x:c r="D239" t="n">
        <x:v>334</x:v>
      </x:c>
      <x:c r="E239" s="22" t="n">
        <x:v>1067.01</x:v>
      </x:c>
      <x:c r="F239" t="n">
        <x:v>5</x:v>
      </x:c>
      <x:c r="G239" t="n">
        <x:v>5</x:v>
      </x:c>
      <x:c r="H239" s="20" t="n">
        <x:f>IFERROR(F239/B239,0)</x:f>
        <x:v>0.8333333333333334</x:v>
      </x:c>
      <x:c r="I239" s="20" t="n">
        <x:f>IFERROR(G239/B239,0)</x:f>
        <x:v>0.8333333333333334</x:v>
      </x:c>
      <x:c r="J239" s="20" t="n">
        <x:f>IFERROR(D239/C239,0)</x:f>
        <x:v>1</x:v>
      </x:c>
      <x:c r="K239" t="str">
        <x:f>IF(B239&lt;Assumptions!$B$8,"Insufficient",IF(I239&lt;Assumptions!$B$9,"High",IF(I239&lt;Assumptions!$B$10,"Medium","Low")))</x:f>
        <x:v>Medium</x:v>
      </x:c>
      <x:c r="L239" t="n">
        <x:v>0</x:v>
      </x:c>
    </x:row>
    <x:row r="240" ht="18" customHeight="1">
      <x:c r="A240" t="str">
        <x:v>Feednation</x:v>
      </x:c>
      <x:c r="B240" t="n">
        <x:v>3</x:v>
      </x:c>
      <x:c r="C240" t="n">
        <x:v>323</x:v>
      </x:c>
      <x:c r="D240" t="n">
        <x:v>323</x:v>
      </x:c>
      <x:c r="E240" s="22" t="n">
        <x:v>1060.13</x:v>
      </x:c>
      <x:c r="F240" t="n">
        <x:v>3</x:v>
      </x:c>
      <x:c r="G240" t="n">
        <x:v>3</x:v>
      </x:c>
      <x:c r="H240" s="20" t="n">
        <x:f>IFERROR(F240/B240,0)</x:f>
        <x:v>1</x:v>
      </x:c>
      <x:c r="I240" s="20" t="n">
        <x:f>IFERROR(G240/B240,0)</x:f>
        <x:v>1</x:v>
      </x:c>
      <x:c r="J240" s="20" t="n">
        <x:f>IFERROR(D240/C240,0)</x:f>
        <x:v>1</x:v>
      </x:c>
      <x:c r="K240" t="str">
        <x:f>IF(B240&lt;Assumptions!$B$8,"Insufficient",IF(I240&lt;Assumptions!$B$9,"High",IF(I240&lt;Assumptions!$B$10,"Medium","Low")))</x:f>
        <x:v>Insufficient</x:v>
      </x:c>
      <x:c r="L240" t="n">
        <x:v>0</x:v>
      </x:c>
    </x:row>
    <x:row r="241" ht="18" customHeight="1">
      <x:c r="A241" t="str">
        <x:v>Bubblebox</x:v>
      </x:c>
      <x:c r="B241" t="n">
        <x:v>13</x:v>
      </x:c>
      <x:c r="C241" t="n">
        <x:v>595</x:v>
      </x:c>
      <x:c r="D241" t="n">
        <x:v>595</x:v>
      </x:c>
      <x:c r="E241" s="22" t="n">
        <x:v>1057.96</x:v>
      </x:c>
      <x:c r="F241" t="n">
        <x:v>11</x:v>
      </x:c>
      <x:c r="G241" t="n">
        <x:v>11</x:v>
      </x:c>
      <x:c r="H241" s="20" t="n">
        <x:f>IFERROR(F241/B241,0)</x:f>
        <x:v>0.8461538461538461</x:v>
      </x:c>
      <x:c r="I241" s="20" t="n">
        <x:f>IFERROR(G241/B241,0)</x:f>
        <x:v>0.8461538461538461</x:v>
      </x:c>
      <x:c r="J241" s="20" t="n">
        <x:f>IFERROR(D241/C241,0)</x:f>
        <x:v>1</x:v>
      </x:c>
      <x:c r="K241" t="str">
        <x:f>IF(B241&lt;Assumptions!$B$8,"Insufficient",IF(I241&lt;Assumptions!$B$9,"High",IF(I241&lt;Assumptions!$B$10,"Medium","Low")))</x:f>
        <x:v>Medium</x:v>
      </x:c>
      <x:c r="L241" t="n">
        <x:v>0</x:v>
      </x:c>
    </x:row>
    <x:row r="242" ht="18" customHeight="1">
      <x:c r="A242" t="str">
        <x:v>Buzzster</x:v>
      </x:c>
      <x:c r="B242" t="n">
        <x:v>5</x:v>
      </x:c>
      <x:c r="C242" t="n">
        <x:v>209</x:v>
      </x:c>
      <x:c r="D242" t="n">
        <x:v>189</x:v>
      </x:c>
      <x:c r="E242" s="22" t="n">
        <x:v>1050.81</x:v>
      </x:c>
      <x:c r="F242" t="n">
        <x:v>3</x:v>
      </x:c>
      <x:c r="G242" t="n">
        <x:v>3</x:v>
      </x:c>
      <x:c r="H242" s="20" t="n">
        <x:f>IFERROR(F242/B242,0)</x:f>
        <x:v>0.6</x:v>
      </x:c>
      <x:c r="I242" s="20" t="n">
        <x:f>IFERROR(G242/B242,0)</x:f>
        <x:v>0.6</x:v>
      </x:c>
      <x:c r="J242" s="20" t="n">
        <x:f>IFERROR(D242/C242,0)</x:f>
        <x:v>0.9043062200956937</x:v>
      </x:c>
      <x:c r="K242" t="str">
        <x:f>IF(B242&lt;Assumptions!$B$8,"Insufficient",IF(I242&lt;Assumptions!$B$9,"High",IF(I242&lt;Assumptions!$B$10,"Medium","Low")))</x:f>
        <x:v>High</x:v>
      </x:c>
      <x:c r="L242" t="n">
        <x:v>0</x:v>
      </x:c>
    </x:row>
    <x:row r="243" ht="18" customHeight="1">
      <x:c r="A243" t="str">
        <x:v>Edgetag</x:v>
      </x:c>
      <x:c r="B243" t="n">
        <x:v>4</x:v>
      </x:c>
      <x:c r="C243" t="n">
        <x:v>104</x:v>
      </x:c>
      <x:c r="D243" t="n">
        <x:v>95</x:v>
      </x:c>
      <x:c r="E243" s="22" t="n">
        <x:v>1045.6</x:v>
      </x:c>
      <x:c r="F243" t="n">
        <x:v>4</x:v>
      </x:c>
      <x:c r="G243" t="n">
        <x:v>3</x:v>
      </x:c>
      <x:c r="H243" s="20" t="n">
        <x:f>IFERROR(F243/B243,0)</x:f>
        <x:v>1</x:v>
      </x:c>
      <x:c r="I243" s="20" t="n">
        <x:f>IFERROR(G243/B243,0)</x:f>
        <x:v>0.75</x:v>
      </x:c>
      <x:c r="J243" s="20" t="n">
        <x:f>IFERROR(D243/C243,0)</x:f>
        <x:v>0.9134615384615384</x:v>
      </x:c>
      <x:c r="K243" t="str">
        <x:f>IF(B243&lt;Assumptions!$B$8,"Insufficient",IF(I243&lt;Assumptions!$B$9,"High",IF(I243&lt;Assumptions!$B$10,"Medium","Low")))</x:f>
        <x:v>Insufficient</x:v>
      </x:c>
      <x:c r="L243" t="n">
        <x:v>0</x:v>
      </x:c>
    </x:row>
    <x:row r="244" ht="18" customHeight="1">
      <x:c r="A244" t="str">
        <x:v>Centidel</x:v>
      </x:c>
      <x:c r="B244" t="n">
        <x:v>6</x:v>
      </x:c>
      <x:c r="C244" t="n">
        <x:v>396</x:v>
      </x:c>
      <x:c r="D244" t="n">
        <x:v>237</x:v>
      </x:c>
      <x:c r="E244" s="22" t="n">
        <x:v>1043.2</x:v>
      </x:c>
      <x:c r="F244" t="n">
        <x:v>2</x:v>
      </x:c>
      <x:c r="G244" t="n">
        <x:v>1</x:v>
      </x:c>
      <x:c r="H244" s="20" t="n">
        <x:f>IFERROR(F244/B244,0)</x:f>
        <x:v>0.3333333333333333</x:v>
      </x:c>
      <x:c r="I244" s="20" t="n">
        <x:f>IFERROR(G244/B244,0)</x:f>
        <x:v>0.16666666666666666</x:v>
      </x:c>
      <x:c r="J244" s="20" t="n">
        <x:f>IFERROR(D244/C244,0)</x:f>
        <x:v>0.5984848484848485</x:v>
      </x:c>
      <x:c r="K244" t="str">
        <x:f>IF(B244&lt;Assumptions!$B$8,"Insufficient",IF(I244&lt;Assumptions!$B$9,"High",IF(I244&lt;Assumptions!$B$10,"Medium","Low")))</x:f>
        <x:v>High</x:v>
      </x:c>
      <x:c r="L244" t="n">
        <x:v>2</x:v>
      </x:c>
    </x:row>
    <x:row r="245" ht="18" customHeight="1">
      <x:c r="A245" t="str">
        <x:v>Meetz</x:v>
      </x:c>
      <x:c r="B245" t="n">
        <x:v>2</x:v>
      </x:c>
      <x:c r="C245" t="n">
        <x:v>287</x:v>
      </x:c>
      <x:c r="D245" t="n">
        <x:v>272</x:v>
      </x:c>
      <x:c r="E245" s="22" t="n">
        <x:v>1041.18</x:v>
      </x:c>
      <x:c r="F245" t="n">
        <x:v>2</x:v>
      </x:c>
      <x:c r="G245" t="n">
        <x:v>1</x:v>
      </x:c>
      <x:c r="H245" s="20" t="n">
        <x:f>IFERROR(F245/B245,0)</x:f>
        <x:v>1</x:v>
      </x:c>
      <x:c r="I245" s="20" t="n">
        <x:f>IFERROR(G245/B245,0)</x:f>
        <x:v>0.5</x:v>
      </x:c>
      <x:c r="J245" s="20" t="n">
        <x:f>IFERROR(D245/C245,0)</x:f>
        <x:v>0.9477351916376306</x:v>
      </x:c>
      <x:c r="K245" t="str">
        <x:f>IF(B245&lt;Assumptions!$B$8,"Insufficient",IF(I245&lt;Assumptions!$B$9,"High",IF(I245&lt;Assumptions!$B$10,"Medium","Low")))</x:f>
        <x:v>Insufficient</x:v>
      </x:c>
      <x:c r="L245" t="n">
        <x:v>0</x:v>
      </x:c>
    </x:row>
    <x:row r="246" ht="18" customHeight="1">
      <x:c r="A246" t="str">
        <x:v>Yoveo</x:v>
      </x:c>
      <x:c r="B246" t="n">
        <x:v>8</x:v>
      </x:c>
      <x:c r="C246" t="n">
        <x:v>219</x:v>
      </x:c>
      <x:c r="D246" t="n">
        <x:v>194</x:v>
      </x:c>
      <x:c r="E246" s="22" t="n">
        <x:v>1036.55</x:v>
      </x:c>
      <x:c r="F246" t="n">
        <x:v>4</x:v>
      </x:c>
      <x:c r="G246" t="n">
        <x:v>3</x:v>
      </x:c>
      <x:c r="H246" s="20" t="n">
        <x:f>IFERROR(F246/B246,0)</x:f>
        <x:v>0.5</x:v>
      </x:c>
      <x:c r="I246" s="20" t="n">
        <x:f>IFERROR(G246/B246,0)</x:f>
        <x:v>0.375</x:v>
      </x:c>
      <x:c r="J246" s="20" t="n">
        <x:f>IFERROR(D246/C246,0)</x:f>
        <x:v>0.8858447488584474</x:v>
      </x:c>
      <x:c r="K246" t="str">
        <x:f>IF(B246&lt;Assumptions!$B$8,"Insufficient",IF(I246&lt;Assumptions!$B$9,"High",IF(I246&lt;Assumptions!$B$10,"Medium","Low")))</x:f>
        <x:v>High</x:v>
      </x:c>
      <x:c r="L246" t="n">
        <x:v>0</x:v>
      </x:c>
    </x:row>
    <x:row r="247" ht="18" customHeight="1">
      <x:c r="A247" t="str">
        <x:v>Gabspot</x:v>
      </x:c>
      <x:c r="B247" t="n">
        <x:v>7</x:v>
      </x:c>
      <x:c r="C247" t="n">
        <x:v>327</x:v>
      </x:c>
      <x:c r="D247" t="n">
        <x:v>286</x:v>
      </x:c>
      <x:c r="E247" s="22" t="n">
        <x:v>1024.6</x:v>
      </x:c>
      <x:c r="F247" t="n">
        <x:v>4</x:v>
      </x:c>
      <x:c r="G247" t="n">
        <x:v>3</x:v>
      </x:c>
      <x:c r="H247" s="20" t="n">
        <x:f>IFERROR(F247/B247,0)</x:f>
        <x:v>0.5714285714285714</x:v>
      </x:c>
      <x:c r="I247" s="20" t="n">
        <x:f>IFERROR(G247/B247,0)</x:f>
        <x:v>0.42857142857142855</x:v>
      </x:c>
      <x:c r="J247" s="20" t="n">
        <x:f>IFERROR(D247/C247,0)</x:f>
        <x:v>0.8746177370030581</x:v>
      </x:c>
      <x:c r="K247" t="str">
        <x:f>IF(B247&lt;Assumptions!$B$8,"Insufficient",IF(I247&lt;Assumptions!$B$9,"High",IF(I247&lt;Assumptions!$B$10,"Medium","Low")))</x:f>
        <x:v>High</x:v>
      </x:c>
      <x:c r="L247" t="n">
        <x:v>2</x:v>
      </x:c>
    </x:row>
    <x:row r="248" ht="18" customHeight="1">
      <x:c r="A248" t="str">
        <x:v>Flashset</x:v>
      </x:c>
      <x:c r="B248" t="n">
        <x:v>6</x:v>
      </x:c>
      <x:c r="C248" t="n">
        <x:v>462</x:v>
      </x:c>
      <x:c r="D248" t="n">
        <x:v>315</x:v>
      </x:c>
      <x:c r="E248" s="22" t="n">
        <x:v>1023.41</x:v>
      </x:c>
      <x:c r="F248" t="n">
        <x:v>3</x:v>
      </x:c>
      <x:c r="G248" t="n">
        <x:v>3</x:v>
      </x:c>
      <x:c r="H248" s="20" t="n">
        <x:f>IFERROR(F248/B248,0)</x:f>
        <x:v>0.5</x:v>
      </x:c>
      <x:c r="I248" s="20" t="n">
        <x:f>IFERROR(G248/B248,0)</x:f>
        <x:v>0.5</x:v>
      </x:c>
      <x:c r="J248" s="20" t="n">
        <x:f>IFERROR(D248/C248,0)</x:f>
        <x:v>0.6818181818181818</x:v>
      </x:c>
      <x:c r="K248" t="str">
        <x:f>IF(B248&lt;Assumptions!$B$8,"Insufficient",IF(I248&lt;Assumptions!$B$9,"High",IF(I248&lt;Assumptions!$B$10,"Medium","Low")))</x:f>
        <x:v>High</x:v>
      </x:c>
      <x:c r="L248" t="n">
        <x:v>2</x:v>
      </x:c>
    </x:row>
    <x:row r="249" ht="18" customHeight="1">
      <x:c r="A249" t="str">
        <x:v>Meejo</x:v>
      </x:c>
      <x:c r="B249" t="n">
        <x:v>6</x:v>
      </x:c>
      <x:c r="C249" t="n">
        <x:v>765</x:v>
      </x:c>
      <x:c r="D249" t="n">
        <x:v>724</x:v>
      </x:c>
      <x:c r="E249" s="22" t="n">
        <x:v>992.42</x:v>
      </x:c>
      <x:c r="F249" t="n">
        <x:v>5</x:v>
      </x:c>
      <x:c r="G249" t="n">
        <x:v>3</x:v>
      </x:c>
      <x:c r="H249" s="20" t="n">
        <x:f>IFERROR(F249/B249,0)</x:f>
        <x:v>0.8333333333333334</x:v>
      </x:c>
      <x:c r="I249" s="20" t="n">
        <x:f>IFERROR(G249/B249,0)</x:f>
        <x:v>0.5</x:v>
      </x:c>
      <x:c r="J249" s="20" t="n">
        <x:f>IFERROR(D249/C249,0)</x:f>
        <x:v>0.9464052287581699</x:v>
      </x:c>
      <x:c r="K249" t="str">
        <x:f>IF(B249&lt;Assumptions!$B$8,"Insufficient",IF(I249&lt;Assumptions!$B$9,"High",IF(I249&lt;Assumptions!$B$10,"Medium","Low")))</x:f>
        <x:v>High</x:v>
      </x:c>
      <x:c r="L249" t="n">
        <x:v>0</x:v>
      </x:c>
    </x:row>
    <x:row r="250" ht="18" customHeight="1">
      <x:c r="A250" t="str">
        <x:v>Babbleblab</x:v>
      </x:c>
      <x:c r="B250" t="n">
        <x:v>2</x:v>
      </x:c>
      <x:c r="C250" t="n">
        <x:v>297</x:v>
      </x:c>
      <x:c r="D250" t="n">
        <x:v>297</x:v>
      </x:c>
      <x:c r="E250" s="22" t="n">
        <x:v>972.54</x:v>
      </x:c>
      <x:c r="F250" t="n">
        <x:v>2</x:v>
      </x:c>
      <x:c r="G250" t="n">
        <x:v>2</x:v>
      </x:c>
      <x:c r="H250" s="20" t="n">
        <x:f>IFERROR(F250/B250,0)</x:f>
        <x:v>1</x:v>
      </x:c>
      <x:c r="I250" s="20" t="n">
        <x:f>IFERROR(G250/B250,0)</x:f>
        <x:v>1</x:v>
      </x:c>
      <x:c r="J250" s="20" t="n">
        <x:f>IFERROR(D250/C250,0)</x:f>
        <x:v>1</x:v>
      </x:c>
      <x:c r="K250" t="str">
        <x:f>IF(B250&lt;Assumptions!$B$8,"Insufficient",IF(I250&lt;Assumptions!$B$9,"High",IF(I250&lt;Assumptions!$B$10,"Medium","Low")))</x:f>
        <x:v>Insufficient</x:v>
      </x:c>
      <x:c r="L250" t="n">
        <x:v>0</x:v>
      </x:c>
    </x:row>
    <x:row r="251" ht="18" customHeight="1">
      <x:c r="A251" t="str">
        <x:v>JumpXS</x:v>
      </x:c>
      <x:c r="B251" t="n">
        <x:v>2</x:v>
      </x:c>
      <x:c r="C251" t="n">
        <x:v>262</x:v>
      </x:c>
      <x:c r="D251" t="n">
        <x:v>262</x:v>
      </x:c>
      <x:c r="E251" s="22" t="n">
        <x:v>968.4</x:v>
      </x:c>
      <x:c r="F251" t="n">
        <x:v>1</x:v>
      </x:c>
      <x:c r="G251" t="n">
        <x:v>1</x:v>
      </x:c>
      <x:c r="H251" s="20" t="n">
        <x:f>IFERROR(F251/B251,0)</x:f>
        <x:v>0.5</x:v>
      </x:c>
      <x:c r="I251" s="20" t="n">
        <x:f>IFERROR(G251/B251,0)</x:f>
        <x:v>0.5</x:v>
      </x:c>
      <x:c r="J251" s="20" t="n">
        <x:f>IFERROR(D251/C251,0)</x:f>
        <x:v>1</x:v>
      </x:c>
      <x:c r="K251" t="str">
        <x:f>IF(B251&lt;Assumptions!$B$8,"Insufficient",IF(I251&lt;Assumptions!$B$9,"High",IF(I251&lt;Assumptions!$B$10,"Medium","Low")))</x:f>
        <x:v>Insufficient</x:v>
      </x:c>
      <x:c r="L251" t="n">
        <x:v>0</x:v>
      </x:c>
    </x:row>
    <x:row r="252" ht="18" customHeight="1">
      <x:c r="A252" t="str">
        <x:v>Browsebug</x:v>
      </x:c>
      <x:c r="B252" t="n">
        <x:v>3</x:v>
      </x:c>
      <x:c r="C252" t="n">
        <x:v>254</x:v>
      </x:c>
      <x:c r="D252" t="n">
        <x:v>245</x:v>
      </x:c>
      <x:c r="E252" s="22" t="n">
        <x:v>966.81</x:v>
      </x:c>
      <x:c r="F252" t="n">
        <x:v>3</x:v>
      </x:c>
      <x:c r="G252" t="n">
        <x:v>2</x:v>
      </x:c>
      <x:c r="H252" s="20" t="n">
        <x:f>IFERROR(F252/B252,0)</x:f>
        <x:v>1</x:v>
      </x:c>
      <x:c r="I252" s="20" t="n">
        <x:f>IFERROR(G252/B252,0)</x:f>
        <x:v>0.6666666666666666</x:v>
      </x:c>
      <x:c r="J252" s="20" t="n">
        <x:f>IFERROR(D252/C252,0)</x:f>
        <x:v>0.9645669291338582</x:v>
      </x:c>
      <x:c r="K252" t="str">
        <x:f>IF(B252&lt;Assumptions!$B$8,"Insufficient",IF(I252&lt;Assumptions!$B$9,"High",IF(I252&lt;Assumptions!$B$10,"Medium","Low")))</x:f>
        <x:v>Insufficient</x:v>
      </x:c>
      <x:c r="L252" t="n">
        <x:v>0</x:v>
      </x:c>
    </x:row>
    <x:row r="253" ht="18" customHeight="1">
      <x:c r="A253" t="str">
        <x:v>Zoozzy</x:v>
      </x:c>
      <x:c r="B253" t="n">
        <x:v>2</x:v>
      </x:c>
      <x:c r="C253" t="n">
        <x:v>59</x:v>
      </x:c>
      <x:c r="D253" t="n">
        <x:v>59</x:v>
      </x:c>
      <x:c r="E253" s="22" t="n">
        <x:v>957.28</x:v>
      </x:c>
      <x:c r="F253" t="n">
        <x:v>2</x:v>
      </x:c>
      <x:c r="G253" t="n">
        <x:v>2</x:v>
      </x:c>
      <x:c r="H253" s="20" t="n">
        <x:f>IFERROR(F253/B253,0)</x:f>
        <x:v>1</x:v>
      </x:c>
      <x:c r="I253" s="20" t="n">
        <x:f>IFERROR(G253/B253,0)</x:f>
        <x:v>1</x:v>
      </x:c>
      <x:c r="J253" s="20" t="n">
        <x:f>IFERROR(D253/C253,0)</x:f>
        <x:v>1</x:v>
      </x:c>
      <x:c r="K253" t="str">
        <x:f>IF(B253&lt;Assumptions!$B$8,"Insufficient",IF(I253&lt;Assumptions!$B$9,"High",IF(I253&lt;Assumptions!$B$10,"Medium","Low")))</x:f>
        <x:v>Insufficient</x:v>
      </x:c>
      <x:c r="L253" t="n">
        <x:v>0</x:v>
      </x:c>
    </x:row>
    <x:row r="254" ht="18" customHeight="1">
      <x:c r="A254" t="str">
        <x:v>Shufflester</x:v>
      </x:c>
      <x:c r="B254" t="n">
        <x:v>10</x:v>
      </x:c>
      <x:c r="C254" t="n">
        <x:v>343</x:v>
      </x:c>
      <x:c r="D254" t="n">
        <x:v>339</x:v>
      </x:c>
      <x:c r="E254" s="22" t="n">
        <x:v>951.7</x:v>
      </x:c>
      <x:c r="F254" t="n">
        <x:v>7</x:v>
      </x:c>
      <x:c r="G254" t="n">
        <x:v>6</x:v>
      </x:c>
      <x:c r="H254" s="20" t="n">
        <x:f>IFERROR(F254/B254,0)</x:f>
        <x:v>0.7</x:v>
      </x:c>
      <x:c r="I254" s="20" t="n">
        <x:f>IFERROR(G254/B254,0)</x:f>
        <x:v>0.6</x:v>
      </x:c>
      <x:c r="J254" s="20" t="n">
        <x:f>IFERROR(D254/C254,0)</x:f>
        <x:v>0.9883381924198251</x:v>
      </x:c>
      <x:c r="K254" t="str">
        <x:f>IF(B254&lt;Assumptions!$B$8,"Insufficient",IF(I254&lt;Assumptions!$B$9,"High",IF(I254&lt;Assumptions!$B$10,"Medium","Low")))</x:f>
        <x:v>High</x:v>
      </x:c>
      <x:c r="L254" t="n">
        <x:v>0</x:v>
      </x:c>
    </x:row>
    <x:row r="255" ht="18" customHeight="1">
      <x:c r="A255" t="str">
        <x:v>Skipstorm</x:v>
      </x:c>
      <x:c r="B255" t="n">
        <x:v>6</x:v>
      </x:c>
      <x:c r="C255" t="n">
        <x:v>144</x:v>
      </x:c>
      <x:c r="D255" t="n">
        <x:v>144</x:v>
      </x:c>
      <x:c r="E255" s="22" t="n">
        <x:v>944.72</x:v>
      </x:c>
      <x:c r="F255" t="n">
        <x:v>3</x:v>
      </x:c>
      <x:c r="G255" t="n">
        <x:v>3</x:v>
      </x:c>
      <x:c r="H255" s="20" t="n">
        <x:f>IFERROR(F255/B255,0)</x:f>
        <x:v>0.5</x:v>
      </x:c>
      <x:c r="I255" s="20" t="n">
        <x:f>IFERROR(G255/B255,0)</x:f>
        <x:v>0.5</x:v>
      </x:c>
      <x:c r="J255" s="20" t="n">
        <x:f>IFERROR(D255/C255,0)</x:f>
        <x:v>1</x:v>
      </x:c>
      <x:c r="K255" t="str">
        <x:f>IF(B255&lt;Assumptions!$B$8,"Insufficient",IF(I255&lt;Assumptions!$B$9,"High",IF(I255&lt;Assumptions!$B$10,"Medium","Low")))</x:f>
        <x:v>High</x:v>
      </x:c>
      <x:c r="L255" t="n">
        <x:v>0</x:v>
      </x:c>
    </x:row>
    <x:row r="256" ht="18" customHeight="1">
      <x:c r="A256" t="str">
        <x:v>Realcube</x:v>
      </x:c>
      <x:c r="B256" t="n">
        <x:v>9</x:v>
      </x:c>
      <x:c r="C256" t="n">
        <x:v>458</x:v>
      </x:c>
      <x:c r="D256" t="n">
        <x:v>458</x:v>
      </x:c>
      <x:c r="E256" s="22" t="n">
        <x:v>927.8</x:v>
      </x:c>
      <x:c r="F256" t="n">
        <x:v>6</x:v>
      </x:c>
      <x:c r="G256" t="n">
        <x:v>6</x:v>
      </x:c>
      <x:c r="H256" s="20" t="n">
        <x:f>IFERROR(F256/B256,0)</x:f>
        <x:v>0.6666666666666666</x:v>
      </x:c>
      <x:c r="I256" s="20" t="n">
        <x:f>IFERROR(G256/B256,0)</x:f>
        <x:v>0.6666666666666666</x:v>
      </x:c>
      <x:c r="J256" s="20" t="n">
        <x:f>IFERROR(D256/C256,0)</x:f>
        <x:v>1</x:v>
      </x:c>
      <x:c r="K256" t="str">
        <x:f>IF(B256&lt;Assumptions!$B$8,"Insufficient",IF(I256&lt;Assumptions!$B$9,"High",IF(I256&lt;Assumptions!$B$10,"Medium","Low")))</x:f>
        <x:v>Medium</x:v>
      </x:c>
      <x:c r="L256" t="n">
        <x:v>0</x:v>
      </x:c>
    </x:row>
    <x:row r="257" ht="18" customHeight="1">
      <x:c r="A257" t="str">
        <x:v>Teklist</x:v>
      </x:c>
      <x:c r="B257" t="n">
        <x:v>4</x:v>
      </x:c>
      <x:c r="C257" t="n">
        <x:v>249</x:v>
      </x:c>
      <x:c r="D257" t="n">
        <x:v>233</x:v>
      </x:c>
      <x:c r="E257" s="22" t="n">
        <x:v>906.82</x:v>
      </x:c>
      <x:c r="F257" t="n">
        <x:v>4</x:v>
      </x:c>
      <x:c r="G257" t="n">
        <x:v>3</x:v>
      </x:c>
      <x:c r="H257" s="20" t="n">
        <x:f>IFERROR(F257/B257,0)</x:f>
        <x:v>1</x:v>
      </x:c>
      <x:c r="I257" s="20" t="n">
        <x:f>IFERROR(G257/B257,0)</x:f>
        <x:v>0.75</x:v>
      </x:c>
      <x:c r="J257" s="20" t="n">
        <x:f>IFERROR(D257/C257,0)</x:f>
        <x:v>0.9357429718875502</x:v>
      </x:c>
      <x:c r="K257" t="str">
        <x:f>IF(B257&lt;Assumptions!$B$8,"Insufficient",IF(I257&lt;Assumptions!$B$9,"High",IF(I257&lt;Assumptions!$B$10,"Medium","Low")))</x:f>
        <x:v>Insufficient</x:v>
      </x:c>
      <x:c r="L257" t="n">
        <x:v>0</x:v>
      </x:c>
    </x:row>
    <x:row r="258" ht="18" customHeight="1">
      <x:c r="A258" t="str">
        <x:v>Innotype</x:v>
      </x:c>
      <x:c r="B258" t="n">
        <x:v>3</x:v>
      </x:c>
      <x:c r="C258" t="n">
        <x:v>396</x:v>
      </x:c>
      <x:c r="D258" t="n">
        <x:v>396</x:v>
      </x:c>
      <x:c r="E258" s="22" t="n">
        <x:v>905.34</x:v>
      </x:c>
      <x:c r="F258" t="n">
        <x:v>3</x:v>
      </x:c>
      <x:c r="G258" t="n">
        <x:v>3</x:v>
      </x:c>
      <x:c r="H258" s="20" t="n">
        <x:f>IFERROR(F258/B258,0)</x:f>
        <x:v>1</x:v>
      </x:c>
      <x:c r="I258" s="20" t="n">
        <x:f>IFERROR(G258/B258,0)</x:f>
        <x:v>1</x:v>
      </x:c>
      <x:c r="J258" s="20" t="n">
        <x:f>IFERROR(D258/C258,0)</x:f>
        <x:v>1</x:v>
      </x:c>
      <x:c r="K258" t="str">
        <x:f>IF(B258&lt;Assumptions!$B$8,"Insufficient",IF(I258&lt;Assumptions!$B$9,"High",IF(I258&lt;Assumptions!$B$10,"Medium","Low")))</x:f>
        <x:v>Insufficient</x:v>
      </x:c>
      <x:c r="L258" t="n">
        <x:v>0</x:v>
      </x:c>
    </x:row>
    <x:row r="259" ht="18" customHeight="1">
      <x:c r="A259" t="str">
        <x:v>Kazio</x:v>
      </x:c>
      <x:c r="B259" t="n">
        <x:v>4</x:v>
      </x:c>
      <x:c r="C259" t="n">
        <x:v>157</x:v>
      </x:c>
      <x:c r="D259" t="n">
        <x:v>157</x:v>
      </x:c>
      <x:c r="E259" s="22" t="n">
        <x:v>899.39</x:v>
      </x:c>
      <x:c r="F259" t="n">
        <x:v>3</x:v>
      </x:c>
      <x:c r="G259" t="n">
        <x:v>3</x:v>
      </x:c>
      <x:c r="H259" s="20" t="n">
        <x:f>IFERROR(F259/B259,0)</x:f>
        <x:v>0.75</x:v>
      </x:c>
      <x:c r="I259" s="20" t="n">
        <x:f>IFERROR(G259/B259,0)</x:f>
        <x:v>0.75</x:v>
      </x:c>
      <x:c r="J259" s="20" t="n">
        <x:f>IFERROR(D259/C259,0)</x:f>
        <x:v>1</x:v>
      </x:c>
      <x:c r="K259" t="str">
        <x:f>IF(B259&lt;Assumptions!$B$8,"Insufficient",IF(I259&lt;Assumptions!$B$9,"High",IF(I259&lt;Assumptions!$B$10,"Medium","Low")))</x:f>
        <x:v>Insufficient</x:v>
      </x:c>
      <x:c r="L259" t="n">
        <x:v>0</x:v>
      </x:c>
    </x:row>
    <x:row r="260" ht="18" customHeight="1">
      <x:c r="A260" t="str">
        <x:v>Eare</x:v>
      </x:c>
      <x:c r="B260" t="n">
        <x:v>5</x:v>
      </x:c>
      <x:c r="C260" t="n">
        <x:v>200</x:v>
      </x:c>
      <x:c r="D260" t="n">
        <x:v>189</x:v>
      </x:c>
      <x:c r="E260" s="22" t="n">
        <x:v>883.23</x:v>
      </x:c>
      <x:c r="F260" t="n">
        <x:v>4</x:v>
      </x:c>
      <x:c r="G260" t="n">
        <x:v>3</x:v>
      </x:c>
      <x:c r="H260" s="20" t="n">
        <x:f>IFERROR(F260/B260,0)</x:f>
        <x:v>0.8</x:v>
      </x:c>
      <x:c r="I260" s="20" t="n">
        <x:f>IFERROR(G260/B260,0)</x:f>
        <x:v>0.6</x:v>
      </x:c>
      <x:c r="J260" s="20" t="n">
        <x:f>IFERROR(D260/C260,0)</x:f>
        <x:v>0.945</x:v>
      </x:c>
      <x:c r="K260" t="str">
        <x:f>IF(B260&lt;Assumptions!$B$8,"Insufficient",IF(I260&lt;Assumptions!$B$9,"High",IF(I260&lt;Assumptions!$B$10,"Medium","Low")))</x:f>
        <x:v>High</x:v>
      </x:c>
      <x:c r="L260" t="n">
        <x:v>0</x:v>
      </x:c>
    </x:row>
    <x:row r="261" ht="18" customHeight="1">
      <x:c r="A261" t="str">
        <x:v>Eabox</x:v>
      </x:c>
      <x:c r="B261" t="n">
        <x:v>5</x:v>
      </x:c>
      <x:c r="C261" t="n">
        <x:v>576</x:v>
      </x:c>
      <x:c r="D261" t="n">
        <x:v>576</x:v>
      </x:c>
      <x:c r="E261" s="22" t="n">
        <x:v>873.24</x:v>
      </x:c>
      <x:c r="F261" t="n">
        <x:v>4</x:v>
      </x:c>
      <x:c r="G261" t="n">
        <x:v>4</x:v>
      </x:c>
      <x:c r="H261" s="20" t="n">
        <x:f>IFERROR(F261/B261,0)</x:f>
        <x:v>0.8</x:v>
      </x:c>
      <x:c r="I261" s="20" t="n">
        <x:f>IFERROR(G261/B261,0)</x:f>
        <x:v>0.8</x:v>
      </x:c>
      <x:c r="J261" s="20" t="n">
        <x:f>IFERROR(D261/C261,0)</x:f>
        <x:v>1</x:v>
      </x:c>
      <x:c r="K261" t="str">
        <x:f>IF(B261&lt;Assumptions!$B$8,"Insufficient",IF(I261&lt;Assumptions!$B$9,"High",IF(I261&lt;Assumptions!$B$10,"Medium","Low")))</x:f>
        <x:v>Medium</x:v>
      </x:c>
      <x:c r="L261" t="n">
        <x:v>0</x:v>
      </x:c>
    </x:row>
    <x:row r="262" ht="18" customHeight="1">
      <x:c r="A262" t="str">
        <x:v>Wordware</x:v>
      </x:c>
      <x:c r="B262" t="n">
        <x:v>8</x:v>
      </x:c>
      <x:c r="C262" t="n">
        <x:v>494</x:v>
      </x:c>
      <x:c r="D262" t="n">
        <x:v>473</x:v>
      </x:c>
      <x:c r="E262" s="22" t="n">
        <x:v>867.73</x:v>
      </x:c>
      <x:c r="F262" t="n">
        <x:v>4</x:v>
      </x:c>
      <x:c r="G262" t="n">
        <x:v>4</x:v>
      </x:c>
      <x:c r="H262" s="20" t="n">
        <x:f>IFERROR(F262/B262,0)</x:f>
        <x:v>0.5</x:v>
      </x:c>
      <x:c r="I262" s="20" t="n">
        <x:f>IFERROR(G262/B262,0)</x:f>
        <x:v>0.5</x:v>
      </x:c>
      <x:c r="J262" s="20" t="n">
        <x:f>IFERROR(D262/C262,0)</x:f>
        <x:v>0.9574898785425101</x:v>
      </x:c>
      <x:c r="K262" t="str">
        <x:f>IF(B262&lt;Assumptions!$B$8,"Insufficient",IF(I262&lt;Assumptions!$B$9,"High",IF(I262&lt;Assumptions!$B$10,"Medium","Low")))</x:f>
        <x:v>High</x:v>
      </x:c>
      <x:c r="L262" t="n">
        <x:v>0</x:v>
      </x:c>
    </x:row>
    <x:row r="263" ht="18" customHeight="1">
      <x:c r="A263" t="str">
        <x:v>Roodel</x:v>
      </x:c>
      <x:c r="B263" t="n">
        <x:v>6</x:v>
      </x:c>
      <x:c r="C263" t="n">
        <x:v>259</x:v>
      </x:c>
      <x:c r="D263" t="n">
        <x:v>216</x:v>
      </x:c>
      <x:c r="E263" s="22" t="n">
        <x:v>867.06</x:v>
      </x:c>
      <x:c r="F263" t="n">
        <x:v>4</x:v>
      </x:c>
      <x:c r="G263" t="n">
        <x:v>0</x:v>
      </x:c>
      <x:c r="H263" s="20" t="n">
        <x:f>IFERROR(F263/B263,0)</x:f>
        <x:v>0.6666666666666666</x:v>
      </x:c>
      <x:c r="I263" s="20" t="n">
        <x:f>IFERROR(G263/B263,0)</x:f>
        <x:v>0</x:v>
      </x:c>
      <x:c r="J263" s="20" t="n">
        <x:f>IFERROR(D263/C263,0)</x:f>
        <x:v>0.833976833976834</x:v>
      </x:c>
      <x:c r="K263" t="str">
        <x:f>IF(B263&lt;Assumptions!$B$8,"Insufficient",IF(I263&lt;Assumptions!$B$9,"High",IF(I263&lt;Assumptions!$B$10,"Medium","Low")))</x:f>
        <x:v>High</x:v>
      </x:c>
      <x:c r="L263" t="n">
        <x:v>0</x:v>
      </x:c>
    </x:row>
    <x:row r="264" ht="18" customHeight="1">
      <x:c r="A264" t="str">
        <x:v>Twitternation</x:v>
      </x:c>
      <x:c r="B264" t="n">
        <x:v>7</x:v>
      </x:c>
      <x:c r="C264" t="n">
        <x:v>242</x:v>
      </x:c>
      <x:c r="D264" t="n">
        <x:v>242</x:v>
      </x:c>
      <x:c r="E264" s="22" t="n">
        <x:v>848.3</x:v>
      </x:c>
      <x:c r="F264" t="n">
        <x:v>7</x:v>
      </x:c>
      <x:c r="G264" t="n">
        <x:v>7</x:v>
      </x:c>
      <x:c r="H264" s="20" t="n">
        <x:f>IFERROR(F264/B264,0)</x:f>
        <x:v>1</x:v>
      </x:c>
      <x:c r="I264" s="20" t="n">
        <x:f>IFERROR(G264/B264,0)</x:f>
        <x:v>1</x:v>
      </x:c>
      <x:c r="J264" s="20" t="n">
        <x:f>IFERROR(D264/C264,0)</x:f>
        <x:v>1</x:v>
      </x:c>
      <x:c r="K264" t="str">
        <x:f>IF(B264&lt;Assumptions!$B$8,"Insufficient",IF(I264&lt;Assumptions!$B$9,"High",IF(I264&lt;Assumptions!$B$10,"Medium","Low")))</x:f>
        <x:v>Low</x:v>
      </x:c>
      <x:c r="L264" t="n">
        <x:v>0</x:v>
      </x:c>
    </x:row>
    <x:row r="265" ht="18" customHeight="1">
      <x:c r="A265" t="str">
        <x:v>Centizu</x:v>
      </x:c>
      <x:c r="B265" t="n">
        <x:v>10</x:v>
      </x:c>
      <x:c r="C265" t="n">
        <x:v>248</x:v>
      </x:c>
      <x:c r="D265" t="n">
        <x:v>197</x:v>
      </x:c>
      <x:c r="E265" s="22" t="n">
        <x:v>842.69</x:v>
      </x:c>
      <x:c r="F265" t="n">
        <x:v>4</x:v>
      </x:c>
      <x:c r="G265" t="n">
        <x:v>2</x:v>
      </x:c>
      <x:c r="H265" s="20" t="n">
        <x:f>IFERROR(F265/B265,0)</x:f>
        <x:v>0.4</x:v>
      </x:c>
      <x:c r="I265" s="20" t="n">
        <x:f>IFERROR(G265/B265,0)</x:f>
        <x:v>0.2</x:v>
      </x:c>
      <x:c r="J265" s="20" t="n">
        <x:f>IFERROR(D265/C265,0)</x:f>
        <x:v>0.7943548387096774</x:v>
      </x:c>
      <x:c r="K265" t="str">
        <x:f>IF(B265&lt;Assumptions!$B$8,"Insufficient",IF(I265&lt;Assumptions!$B$9,"High",IF(I265&lt;Assumptions!$B$10,"Medium","Low")))</x:f>
        <x:v>High</x:v>
      </x:c>
      <x:c r="L265" t="n">
        <x:v>2</x:v>
      </x:c>
    </x:row>
    <x:row r="266" ht="18" customHeight="1">
      <x:c r="A266" t="str">
        <x:v>Dabshots</x:v>
      </x:c>
      <x:c r="B266" t="n">
        <x:v>5</x:v>
      </x:c>
      <x:c r="C266" t="n">
        <x:v>333</x:v>
      </x:c>
      <x:c r="D266" t="n">
        <x:v>325</x:v>
      </x:c>
      <x:c r="E266" s="22" t="n">
        <x:v>842.25</x:v>
      </x:c>
      <x:c r="F266" t="n">
        <x:v>4</x:v>
      </x:c>
      <x:c r="G266" t="n">
        <x:v>3</x:v>
      </x:c>
      <x:c r="H266" s="20" t="n">
        <x:f>IFERROR(F266/B266,0)</x:f>
        <x:v>0.8</x:v>
      </x:c>
      <x:c r="I266" s="20" t="n">
        <x:f>IFERROR(G266/B266,0)</x:f>
        <x:v>0.6</x:v>
      </x:c>
      <x:c r="J266" s="20" t="n">
        <x:f>IFERROR(D266/C266,0)</x:f>
        <x:v>0.975975975975976</x:v>
      </x:c>
      <x:c r="K266" t="str">
        <x:f>IF(B266&lt;Assumptions!$B$8,"Insufficient",IF(I266&lt;Assumptions!$B$9,"High",IF(I266&lt;Assumptions!$B$10,"Medium","Low")))</x:f>
        <x:v>High</x:v>
      </x:c>
      <x:c r="L266" t="n">
        <x:v>0</x:v>
      </x:c>
    </x:row>
    <x:row r="267" ht="18" customHeight="1">
      <x:c r="A267" t="str">
        <x:v>Tagchat</x:v>
      </x:c>
      <x:c r="B267" t="n">
        <x:v>4</x:v>
      </x:c>
      <x:c r="C267" t="n">
        <x:v>240</x:v>
      </x:c>
      <x:c r="D267" t="n">
        <x:v>239</x:v>
      </x:c>
      <x:c r="E267" s="22" t="n">
        <x:v>837.48</x:v>
      </x:c>
      <x:c r="F267" t="n">
        <x:v>2</x:v>
      </x:c>
      <x:c r="G267" t="n">
        <x:v>2</x:v>
      </x:c>
      <x:c r="H267" s="20" t="n">
        <x:f>IFERROR(F267/B267,0)</x:f>
        <x:v>0.5</x:v>
      </x:c>
      <x:c r="I267" s="20" t="n">
        <x:f>IFERROR(G267/B267,0)</x:f>
        <x:v>0.5</x:v>
      </x:c>
      <x:c r="J267" s="20" t="n">
        <x:f>IFERROR(D267/C267,0)</x:f>
        <x:v>0.9958333333333333</x:v>
      </x:c>
      <x:c r="K267" t="str">
        <x:f>IF(B267&lt;Assumptions!$B$8,"Insufficient",IF(I267&lt;Assumptions!$B$9,"High",IF(I267&lt;Assumptions!$B$10,"Medium","Low")))</x:f>
        <x:v>Insufficient</x:v>
      </x:c>
      <x:c r="L267" t="n">
        <x:v>0</x:v>
      </x:c>
    </x:row>
    <x:row r="268" ht="18" customHeight="1">
      <x:c r="A268" t="str">
        <x:v>Ooba</x:v>
      </x:c>
      <x:c r="B268" t="n">
        <x:v>6</x:v>
      </x:c>
      <x:c r="C268" t="n">
        <x:v>472</x:v>
      </x:c>
      <x:c r="D268" t="n">
        <x:v>472</x:v>
      </x:c>
      <x:c r="E268" s="22" t="n">
        <x:v>830.92</x:v>
      </x:c>
      <x:c r="F268" t="n">
        <x:v>3</x:v>
      </x:c>
      <x:c r="G268" t="n">
        <x:v>3</x:v>
      </x:c>
      <x:c r="H268" s="20" t="n">
        <x:f>IFERROR(F268/B268,0)</x:f>
        <x:v>0.5</x:v>
      </x:c>
      <x:c r="I268" s="20" t="n">
        <x:f>IFERROR(G268/B268,0)</x:f>
        <x:v>0.5</x:v>
      </x:c>
      <x:c r="J268" s="20" t="n">
        <x:f>IFERROR(D268/C268,0)</x:f>
        <x:v>1</x:v>
      </x:c>
      <x:c r="K268" t="str">
        <x:f>IF(B268&lt;Assumptions!$B$8,"Insufficient",IF(I268&lt;Assumptions!$B$9,"High",IF(I268&lt;Assumptions!$B$10,"Medium","Low")))</x:f>
        <x:v>High</x:v>
      </x:c>
      <x:c r="L268" t="n">
        <x:v>0</x:v>
      </x:c>
    </x:row>
    <x:row r="269" ht="18" customHeight="1">
      <x:c r="A269" t="str">
        <x:v>Zoombox</x:v>
      </x:c>
      <x:c r="B269" t="n">
        <x:v>11</x:v>
      </x:c>
      <x:c r="C269" t="n">
        <x:v>661</x:v>
      </x:c>
      <x:c r="D269" t="n">
        <x:v>649</x:v>
      </x:c>
      <x:c r="E269" s="22" t="n">
        <x:v>816.27</x:v>
      </x:c>
      <x:c r="F269" t="n">
        <x:v>8</x:v>
      </x:c>
      <x:c r="G269" t="n">
        <x:v>7</x:v>
      </x:c>
      <x:c r="H269" s="20" t="n">
        <x:f>IFERROR(F269/B269,0)</x:f>
        <x:v>0.7272727272727273</x:v>
      </x:c>
      <x:c r="I269" s="20" t="n">
        <x:f>IFERROR(G269/B269,0)</x:f>
        <x:v>0.6363636363636364</x:v>
      </x:c>
      <x:c r="J269" s="20" t="n">
        <x:f>IFERROR(D269/C269,0)</x:f>
        <x:v>0.9818456883509834</x:v>
      </x:c>
      <x:c r="K269" t="str">
        <x:f>IF(B269&lt;Assumptions!$B$8,"Insufficient",IF(I269&lt;Assumptions!$B$9,"High",IF(I269&lt;Assumptions!$B$10,"Medium","Low")))</x:f>
        <x:v>High</x:v>
      </x:c>
      <x:c r="L269" t="n">
        <x:v>0</x:v>
      </x:c>
    </x:row>
    <x:row r="270" ht="18" customHeight="1">
      <x:c r="A270" t="str">
        <x:v>Yakidoo</x:v>
      </x:c>
      <x:c r="B270" t="n">
        <x:v>2</x:v>
      </x:c>
      <x:c r="C270" t="n">
        <x:v>99</x:v>
      </x:c>
      <x:c r="D270" t="n">
        <x:v>99</x:v>
      </x:c>
      <x:c r="E270" s="22" t="n">
        <x:v>800.83</x:v>
      </x:c>
      <x:c r="F270" t="n">
        <x:v>2</x:v>
      </x:c>
      <x:c r="G270" t="n">
        <x:v>2</x:v>
      </x:c>
      <x:c r="H270" s="20" t="n">
        <x:f>IFERROR(F270/B270,0)</x:f>
        <x:v>1</x:v>
      </x:c>
      <x:c r="I270" s="20" t="n">
        <x:f>IFERROR(G270/B270,0)</x:f>
        <x:v>1</x:v>
      </x:c>
      <x:c r="J270" s="20" t="n">
        <x:f>IFERROR(D270/C270,0)</x:f>
        <x:v>1</x:v>
      </x:c>
      <x:c r="K270" t="str">
        <x:f>IF(B270&lt;Assumptions!$B$8,"Insufficient",IF(I270&lt;Assumptions!$B$9,"High",IF(I270&lt;Assumptions!$B$10,"Medium","Low")))</x:f>
        <x:v>Insufficient</x:v>
      </x:c>
      <x:c r="L270" t="n">
        <x:v>0</x:v>
      </x:c>
    </x:row>
    <x:row r="271" ht="18" customHeight="1">
      <x:c r="A271" t="str">
        <x:v>Latz</x:v>
      </x:c>
      <x:c r="B271" t="n">
        <x:v>6</x:v>
      </x:c>
      <x:c r="C271" t="n">
        <x:v>408</x:v>
      </x:c>
      <x:c r="D271" t="n">
        <x:v>346</x:v>
      </x:c>
      <x:c r="E271" s="22" t="n">
        <x:v>785.92</x:v>
      </x:c>
      <x:c r="F271" t="n">
        <x:v>3</x:v>
      </x:c>
      <x:c r="G271" t="n">
        <x:v>3</x:v>
      </x:c>
      <x:c r="H271" s="20" t="n">
        <x:f>IFERROR(F271/B271,0)</x:f>
        <x:v>0.5</x:v>
      </x:c>
      <x:c r="I271" s="20" t="n">
        <x:f>IFERROR(G271/B271,0)</x:f>
        <x:v>0.5</x:v>
      </x:c>
      <x:c r="J271" s="20" t="n">
        <x:f>IFERROR(D271/C271,0)</x:f>
        <x:v>0.8480392156862745</x:v>
      </x:c>
      <x:c r="K271" t="str">
        <x:f>IF(B271&lt;Assumptions!$B$8,"Insufficient",IF(I271&lt;Assumptions!$B$9,"High",IF(I271&lt;Assumptions!$B$10,"Medium","Low")))</x:f>
        <x:v>High</x:v>
      </x:c>
      <x:c r="L271" t="n">
        <x:v>1</x:v>
      </x:c>
    </x:row>
    <x:row r="272" ht="18" customHeight="1">
      <x:c r="A272" t="str">
        <x:v>Shuffletag</x:v>
      </x:c>
      <x:c r="B272" t="n">
        <x:v>11</x:v>
      </x:c>
      <x:c r="C272" t="n">
        <x:v>316</x:v>
      </x:c>
      <x:c r="D272" t="n">
        <x:v>261</x:v>
      </x:c>
      <x:c r="E272" s="22" t="n">
        <x:v>784.54</x:v>
      </x:c>
      <x:c r="F272" t="n">
        <x:v>8</x:v>
      </x:c>
      <x:c r="G272" t="n">
        <x:v>7</x:v>
      </x:c>
      <x:c r="H272" s="20" t="n">
        <x:f>IFERROR(F272/B272,0)</x:f>
        <x:v>0.7272727272727273</x:v>
      </x:c>
      <x:c r="I272" s="20" t="n">
        <x:f>IFERROR(G272/B272,0)</x:f>
        <x:v>0.6363636363636364</x:v>
      </x:c>
      <x:c r="J272" s="20" t="n">
        <x:f>IFERROR(D272/C272,0)</x:f>
        <x:v>0.8259493670886076</x:v>
      </x:c>
      <x:c r="K272" t="str">
        <x:f>IF(B272&lt;Assumptions!$B$8,"Insufficient",IF(I272&lt;Assumptions!$B$9,"High",IF(I272&lt;Assumptions!$B$10,"Medium","Low")))</x:f>
        <x:v>High</x:v>
      </x:c>
      <x:c r="L272" t="n">
        <x:v>1</x:v>
      </x:c>
    </x:row>
    <x:row r="273" ht="18" customHeight="1">
      <x:c r="A273" t="str">
        <x:v>Oyonder</x:v>
      </x:c>
      <x:c r="B273" t="n">
        <x:v>3</x:v>
      </x:c>
      <x:c r="C273" t="n">
        <x:v>108</x:v>
      </x:c>
      <x:c r="D273" t="n">
        <x:v>69</x:v>
      </x:c>
      <x:c r="E273" s="22" t="n">
        <x:v>774.08</x:v>
      </x:c>
      <x:c r="F273" t="n">
        <x:v>0</x:v>
      </x:c>
      <x:c r="G273" t="n">
        <x:v>0</x:v>
      </x:c>
      <x:c r="H273" s="20" t="n">
        <x:f>IFERROR(F273/B273,0)</x:f>
        <x:v>0</x:v>
      </x:c>
      <x:c r="I273" s="20" t="n">
        <x:f>IFERROR(G273/B273,0)</x:f>
        <x:v>0</x:v>
      </x:c>
      <x:c r="J273" s="20" t="n">
        <x:f>IFERROR(D273/C273,0)</x:f>
        <x:v>0.6388888888888888</x:v>
      </x:c>
      <x:c r="K273" t="str">
        <x:f>IF(B273&lt;Assumptions!$B$8,"Insufficient",IF(I273&lt;Assumptions!$B$9,"High",IF(I273&lt;Assumptions!$B$10,"Medium","Low")))</x:f>
        <x:v>Insufficient</x:v>
      </x:c>
      <x:c r="L273" t="n">
        <x:v>1</x:v>
      </x:c>
    </x:row>
    <x:row r="274" ht="18" customHeight="1">
      <x:c r="A274" t="str">
        <x:v>Kimia</x:v>
      </x:c>
      <x:c r="B274" t="n">
        <x:v>8</x:v>
      </x:c>
      <x:c r="C274" t="n">
        <x:v>279</x:v>
      </x:c>
      <x:c r="D274" t="n">
        <x:v>279</x:v>
      </x:c>
      <x:c r="E274" s="22" t="n">
        <x:v>749.48</x:v>
      </x:c>
      <x:c r="F274" t="n">
        <x:v>4</x:v>
      </x:c>
      <x:c r="G274" t="n">
        <x:v>4</x:v>
      </x:c>
      <x:c r="H274" s="20" t="n">
        <x:f>IFERROR(F274/B274,0)</x:f>
        <x:v>0.5</x:v>
      </x:c>
      <x:c r="I274" s="20" t="n">
        <x:f>IFERROR(G274/B274,0)</x:f>
        <x:v>0.5</x:v>
      </x:c>
      <x:c r="J274" s="20" t="n">
        <x:f>IFERROR(D274/C274,0)</x:f>
        <x:v>1</x:v>
      </x:c>
      <x:c r="K274" t="str">
        <x:f>IF(B274&lt;Assumptions!$B$8,"Insufficient",IF(I274&lt;Assumptions!$B$9,"High",IF(I274&lt;Assumptions!$B$10,"Medium","Low")))</x:f>
        <x:v>High</x:v>
      </x:c>
      <x:c r="L274" t="n">
        <x:v>0</x:v>
      </x:c>
    </x:row>
    <x:row r="275" ht="18" customHeight="1">
      <x:c r="A275" t="str">
        <x:v>Topiclounge</x:v>
      </x:c>
      <x:c r="B275" t="n">
        <x:v>8</x:v>
      </x:c>
      <x:c r="C275" t="n">
        <x:v>337</x:v>
      </x:c>
      <x:c r="D275" t="n">
        <x:v>304</x:v>
      </x:c>
      <x:c r="E275" s="22" t="n">
        <x:v>733.87</x:v>
      </x:c>
      <x:c r="F275" t="n">
        <x:v>4</x:v>
      </x:c>
      <x:c r="G275" t="n">
        <x:v>3</x:v>
      </x:c>
      <x:c r="H275" s="20" t="n">
        <x:f>IFERROR(F275/B275,0)</x:f>
        <x:v>0.5</x:v>
      </x:c>
      <x:c r="I275" s="20" t="n">
        <x:f>IFERROR(G275/B275,0)</x:f>
        <x:v>0.375</x:v>
      </x:c>
      <x:c r="J275" s="20" t="n">
        <x:f>IFERROR(D275/C275,0)</x:f>
        <x:v>0.9020771513353115</x:v>
      </x:c>
      <x:c r="K275" t="str">
        <x:f>IF(B275&lt;Assumptions!$B$8,"Insufficient",IF(I275&lt;Assumptions!$B$9,"High",IF(I275&lt;Assumptions!$B$10,"Medium","Low")))</x:f>
        <x:v>High</x:v>
      </x:c>
      <x:c r="L275" t="n">
        <x:v>0</x:v>
      </x:c>
    </x:row>
    <x:row r="276" ht="18" customHeight="1">
      <x:c r="A276" t="str">
        <x:v>Trudeo</x:v>
      </x:c>
      <x:c r="B276" t="n">
        <x:v>6</x:v>
      </x:c>
      <x:c r="C276" t="n">
        <x:v>514</x:v>
      </x:c>
      <x:c r="D276" t="n">
        <x:v>416</x:v>
      </x:c>
      <x:c r="E276" s="22" t="n">
        <x:v>733.22</x:v>
      </x:c>
      <x:c r="F276" t="n">
        <x:v>4</x:v>
      </x:c>
      <x:c r="G276" t="n">
        <x:v>3</x:v>
      </x:c>
      <x:c r="H276" s="20" t="n">
        <x:f>IFERROR(F276/B276,0)</x:f>
        <x:v>0.6666666666666666</x:v>
      </x:c>
      <x:c r="I276" s="20" t="n">
        <x:f>IFERROR(G276/B276,0)</x:f>
        <x:v>0.5</x:v>
      </x:c>
      <x:c r="J276" s="20" t="n">
        <x:f>IFERROR(D276/C276,0)</x:f>
        <x:v>0.8093385214007782</x:v>
      </x:c>
      <x:c r="K276" t="str">
        <x:f>IF(B276&lt;Assumptions!$B$8,"Insufficient",IF(I276&lt;Assumptions!$B$9,"High",IF(I276&lt;Assumptions!$B$10,"Medium","Low")))</x:f>
        <x:v>High</x:v>
      </x:c>
      <x:c r="L276" t="n">
        <x:v>1</x:v>
      </x:c>
    </x:row>
    <x:row r="277" ht="18" customHeight="1">
      <x:c r="A277" t="str">
        <x:v>Dynava</x:v>
      </x:c>
      <x:c r="B277" t="n">
        <x:v>6</x:v>
      </x:c>
      <x:c r="C277" t="n">
        <x:v>168</x:v>
      </x:c>
      <x:c r="D277" t="n">
        <x:v>168</x:v>
      </x:c>
      <x:c r="E277" s="22" t="n">
        <x:v>727.66</x:v>
      </x:c>
      <x:c r="F277" t="n">
        <x:v>4</x:v>
      </x:c>
      <x:c r="G277" t="n">
        <x:v>4</x:v>
      </x:c>
      <x:c r="H277" s="20" t="n">
        <x:f>IFERROR(F277/B277,0)</x:f>
        <x:v>0.6666666666666666</x:v>
      </x:c>
      <x:c r="I277" s="20" t="n">
        <x:f>IFERROR(G277/B277,0)</x:f>
        <x:v>0.6666666666666666</x:v>
      </x:c>
      <x:c r="J277" s="20" t="n">
        <x:f>IFERROR(D277/C277,0)</x:f>
        <x:v>1</x:v>
      </x:c>
      <x:c r="K277" t="str">
        <x:f>IF(B277&lt;Assumptions!$B$8,"Insufficient",IF(I277&lt;Assumptions!$B$9,"High",IF(I277&lt;Assumptions!$B$10,"Medium","Low")))</x:f>
        <x:v>Medium</x:v>
      </x:c>
      <x:c r="L277" t="n">
        <x:v>0</x:v>
      </x:c>
    </x:row>
    <x:row r="278" ht="18" customHeight="1">
      <x:c r="A278" t="str">
        <x:v>Cogilith</x:v>
      </x:c>
      <x:c r="B278" t="n">
        <x:v>7</x:v>
      </x:c>
      <x:c r="C278" t="n">
        <x:v>414</x:v>
      </x:c>
      <x:c r="D278" t="n">
        <x:v>406</x:v>
      </x:c>
      <x:c r="E278" s="22" t="n">
        <x:v>725.04</x:v>
      </x:c>
      <x:c r="F278" t="n">
        <x:v>6</x:v>
      </x:c>
      <x:c r="G278" t="n">
        <x:v>6</x:v>
      </x:c>
      <x:c r="H278" s="20" t="n">
        <x:f>IFERROR(F278/B278,0)</x:f>
        <x:v>0.8571428571428571</x:v>
      </x:c>
      <x:c r="I278" s="20" t="n">
        <x:f>IFERROR(G278/B278,0)</x:f>
        <x:v>0.8571428571428571</x:v>
      </x:c>
      <x:c r="J278" s="20" t="n">
        <x:f>IFERROR(D278/C278,0)</x:f>
        <x:v>0.9806763285024155</x:v>
      </x:c>
      <x:c r="K278" t="str">
        <x:f>IF(B278&lt;Assumptions!$B$8,"Insufficient",IF(I278&lt;Assumptions!$B$9,"High",IF(I278&lt;Assumptions!$B$10,"Medium","Low")))</x:f>
        <x:v>Low</x:v>
      </x:c>
      <x:c r="L278" t="n">
        <x:v>0</x:v>
      </x:c>
    </x:row>
    <x:row r="279" ht="18" customHeight="1">
      <x:c r="A279" t="str">
        <x:v>Topicware</x:v>
      </x:c>
      <x:c r="B279" t="n">
        <x:v>4</x:v>
      </x:c>
      <x:c r="C279" t="n">
        <x:v>275</x:v>
      </x:c>
      <x:c r="D279" t="n">
        <x:v>271</x:v>
      </x:c>
      <x:c r="E279" s="22" t="n">
        <x:v>703.41</x:v>
      </x:c>
      <x:c r="F279" t="n">
        <x:v>3</x:v>
      </x:c>
      <x:c r="G279" t="n">
        <x:v>3</x:v>
      </x:c>
      <x:c r="H279" s="20" t="n">
        <x:f>IFERROR(F279/B279,0)</x:f>
        <x:v>0.75</x:v>
      </x:c>
      <x:c r="I279" s="20" t="n">
        <x:f>IFERROR(G279/B279,0)</x:f>
        <x:v>0.75</x:v>
      </x:c>
      <x:c r="J279" s="20" t="n">
        <x:f>IFERROR(D279/C279,0)</x:f>
        <x:v>0.9854545454545455</x:v>
      </x:c>
      <x:c r="K279" t="str">
        <x:f>IF(B279&lt;Assumptions!$B$8,"Insufficient",IF(I279&lt;Assumptions!$B$9,"High",IF(I279&lt;Assumptions!$B$10,"Medium","Low")))</x:f>
        <x:v>Insufficient</x:v>
      </x:c>
      <x:c r="L279" t="n">
        <x:v>1</x:v>
      </x:c>
    </x:row>
    <x:row r="280" ht="18" customHeight="1">
      <x:c r="A280" t="str">
        <x:v>Tekfly</x:v>
      </x:c>
      <x:c r="B280" t="n">
        <x:v>2</x:v>
      </x:c>
      <x:c r="C280" t="n">
        <x:v>183</x:v>
      </x:c>
      <x:c r="D280" t="n">
        <x:v>183</x:v>
      </x:c>
      <x:c r="E280" s="22" t="n">
        <x:v>632.64</x:v>
      </x:c>
      <x:c r="F280" t="n">
        <x:v>1</x:v>
      </x:c>
      <x:c r="G280" t="n">
        <x:v>1</x:v>
      </x:c>
      <x:c r="H280" s="20" t="n">
        <x:f>IFERROR(F280/B280,0)</x:f>
        <x:v>0.5</x:v>
      </x:c>
      <x:c r="I280" s="20" t="n">
        <x:f>IFERROR(G280/B280,0)</x:f>
        <x:v>0.5</x:v>
      </x:c>
      <x:c r="J280" s="20" t="n">
        <x:f>IFERROR(D280/C280,0)</x:f>
        <x:v>1</x:v>
      </x:c>
      <x:c r="K280" t="str">
        <x:f>IF(B280&lt;Assumptions!$B$8,"Insufficient",IF(I280&lt;Assumptions!$B$9,"High",IF(I280&lt;Assumptions!$B$10,"Medium","Low")))</x:f>
        <x:v>Insufficient</x:v>
      </x:c>
      <x:c r="L280" t="n">
        <x:v>0</x:v>
      </x:c>
    </x:row>
    <x:row r="281" ht="18" customHeight="1">
      <x:c r="A281" t="str">
        <x:v>Linkbridge</x:v>
      </x:c>
      <x:c r="B281" t="n">
        <x:v>7</x:v>
      </x:c>
      <x:c r="C281" t="n">
        <x:v>262</x:v>
      </x:c>
      <x:c r="D281" t="n">
        <x:v>262</x:v>
      </x:c>
      <x:c r="E281" s="22" t="n">
        <x:v>626.15</x:v>
      </x:c>
      <x:c r="F281" t="n">
        <x:v>5</x:v>
      </x:c>
      <x:c r="G281" t="n">
        <x:v>5</x:v>
      </x:c>
      <x:c r="H281" s="20" t="n">
        <x:f>IFERROR(F281/B281,0)</x:f>
        <x:v>0.7142857142857143</x:v>
      </x:c>
      <x:c r="I281" s="20" t="n">
        <x:f>IFERROR(G281/B281,0)</x:f>
        <x:v>0.7142857142857143</x:v>
      </x:c>
      <x:c r="J281" s="20" t="n">
        <x:f>IFERROR(D281/C281,0)</x:f>
        <x:v>1</x:v>
      </x:c>
      <x:c r="K281" t="str">
        <x:f>IF(B281&lt;Assumptions!$B$8,"Insufficient",IF(I281&lt;Assumptions!$B$9,"High",IF(I281&lt;Assumptions!$B$10,"Medium","Low")))</x:f>
        <x:v>Medium</x:v>
      </x:c>
      <x:c r="L281" t="n">
        <x:v>0</x:v>
      </x:c>
    </x:row>
    <x:row r="282" ht="18" customHeight="1">
      <x:c r="A282" t="str">
        <x:v>Divanoodle</x:v>
      </x:c>
      <x:c r="B282" t="n">
        <x:v>4</x:v>
      </x:c>
      <x:c r="C282" t="n">
        <x:v>112</x:v>
      </x:c>
      <x:c r="D282" t="n">
        <x:v>112</x:v>
      </x:c>
      <x:c r="E282" s="22" t="n">
        <x:v>617.31</x:v>
      </x:c>
      <x:c r="F282" t="n">
        <x:v>1</x:v>
      </x:c>
      <x:c r="G282" t="n">
        <x:v>1</x:v>
      </x:c>
      <x:c r="H282" s="20" t="n">
        <x:f>IFERROR(F282/B282,0)</x:f>
        <x:v>0.25</x:v>
      </x:c>
      <x:c r="I282" s="20" t="n">
        <x:f>IFERROR(G282/B282,0)</x:f>
        <x:v>0.25</x:v>
      </x:c>
      <x:c r="J282" s="20" t="n">
        <x:f>IFERROR(D282/C282,0)</x:f>
        <x:v>1</x:v>
      </x:c>
      <x:c r="K282" t="str">
        <x:f>IF(B282&lt;Assumptions!$B$8,"Insufficient",IF(I282&lt;Assumptions!$B$9,"High",IF(I282&lt;Assumptions!$B$10,"Medium","Low")))</x:f>
        <x:v>Insufficient</x:v>
      </x:c>
      <x:c r="L282" t="n">
        <x:v>0</x:v>
      </x:c>
    </x:row>
    <x:row r="283" ht="18" customHeight="1">
      <x:c r="A283" t="str">
        <x:v>Kwideo</x:v>
      </x:c>
      <x:c r="B283" t="n">
        <x:v>9</x:v>
      </x:c>
      <x:c r="C283" t="n">
        <x:v>186</x:v>
      </x:c>
      <x:c r="D283" t="n">
        <x:v>186</x:v>
      </x:c>
      <x:c r="E283" s="22" t="n">
        <x:v>602.05</x:v>
      </x:c>
      <x:c r="F283" t="n">
        <x:v>5</x:v>
      </x:c>
      <x:c r="G283" t="n">
        <x:v>5</x:v>
      </x:c>
      <x:c r="H283" s="20" t="n">
        <x:f>IFERROR(F283/B283,0)</x:f>
        <x:v>0.5555555555555556</x:v>
      </x:c>
      <x:c r="I283" s="20" t="n">
        <x:f>IFERROR(G283/B283,0)</x:f>
        <x:v>0.5555555555555556</x:v>
      </x:c>
      <x:c r="J283" s="20" t="n">
        <x:f>IFERROR(D283/C283,0)</x:f>
        <x:v>1</x:v>
      </x:c>
      <x:c r="K283" t="str">
        <x:f>IF(B283&lt;Assumptions!$B$8,"Insufficient",IF(I283&lt;Assumptions!$B$9,"High",IF(I283&lt;Assumptions!$B$10,"Medium","Low")))</x:f>
        <x:v>High</x:v>
      </x:c>
      <x:c r="L283" t="n">
        <x:v>0</x:v>
      </x:c>
    </x:row>
    <x:row r="284" ht="18" customHeight="1">
      <x:c r="A284" t="str">
        <x:v>Yakijo</x:v>
      </x:c>
      <x:c r="B284" t="n">
        <x:v>6</x:v>
      </x:c>
      <x:c r="C284" t="n">
        <x:v>194</x:v>
      </x:c>
      <x:c r="D284" t="n">
        <x:v>186</x:v>
      </x:c>
      <x:c r="E284" s="22" t="n">
        <x:v>598.54</x:v>
      </x:c>
      <x:c r="F284" t="n">
        <x:v>2</x:v>
      </x:c>
      <x:c r="G284" t="n">
        <x:v>2</x:v>
      </x:c>
      <x:c r="H284" s="20" t="n">
        <x:f>IFERROR(F284/B284,0)</x:f>
        <x:v>0.3333333333333333</x:v>
      </x:c>
      <x:c r="I284" s="20" t="n">
        <x:f>IFERROR(G284/B284,0)</x:f>
        <x:v>0.3333333333333333</x:v>
      </x:c>
      <x:c r="J284" s="20" t="n">
        <x:f>IFERROR(D284/C284,0)</x:f>
        <x:v>0.9587628865979382</x:v>
      </x:c>
      <x:c r="K284" t="str">
        <x:f>IF(B284&lt;Assumptions!$B$8,"Insufficient",IF(I284&lt;Assumptions!$B$9,"High",IF(I284&lt;Assumptions!$B$10,"Medium","Low")))</x:f>
        <x:v>High</x:v>
      </x:c>
      <x:c r="L284" t="n">
        <x:v>1</x:v>
      </x:c>
    </x:row>
    <x:row r="285" ht="18" customHeight="1">
      <x:c r="A285" t="str">
        <x:v>Dabvine</x:v>
      </x:c>
      <x:c r="B285" t="n">
        <x:v>2</x:v>
      </x:c>
      <x:c r="C285" t="n">
        <x:v>177</x:v>
      </x:c>
      <x:c r="D285" t="n">
        <x:v>142</x:v>
      </x:c>
      <x:c r="E285" s="22" t="n">
        <x:v>596.67</x:v>
      </x:c>
      <x:c r="F285" t="n">
        <x:v>1</x:v>
      </x:c>
      <x:c r="G285" t="n">
        <x:v>0</x:v>
      </x:c>
      <x:c r="H285" s="20" t="n">
        <x:f>IFERROR(F285/B285,0)</x:f>
        <x:v>0.5</x:v>
      </x:c>
      <x:c r="I285" s="20" t="n">
        <x:f>IFERROR(G285/B285,0)</x:f>
        <x:v>0</x:v>
      </x:c>
      <x:c r="J285" s="20" t="n">
        <x:f>IFERROR(D285/C285,0)</x:f>
        <x:v>0.8022598870056498</x:v>
      </x:c>
      <x:c r="K285" t="str">
        <x:f>IF(B285&lt;Assumptions!$B$8,"Insufficient",IF(I285&lt;Assumptions!$B$9,"High",IF(I285&lt;Assumptions!$B$10,"Medium","Low")))</x:f>
        <x:v>Insufficient</x:v>
      </x:c>
      <x:c r="L285" t="n">
        <x:v>0</x:v>
      </x:c>
    </x:row>
    <x:row r="286" ht="18" customHeight="1">
      <x:c r="A286" t="str">
        <x:v>Oloo</x:v>
      </x:c>
      <x:c r="B286" t="n">
        <x:v>4</x:v>
      </x:c>
      <x:c r="C286" t="n">
        <x:v>335</x:v>
      </x:c>
      <x:c r="D286" t="n">
        <x:v>335</x:v>
      </x:c>
      <x:c r="E286" s="22" t="n">
        <x:v>593.23</x:v>
      </x:c>
      <x:c r="F286" t="n">
        <x:v>3</x:v>
      </x:c>
      <x:c r="G286" t="n">
        <x:v>3</x:v>
      </x:c>
      <x:c r="H286" s="20" t="n">
        <x:f>IFERROR(F286/B286,0)</x:f>
        <x:v>0.75</x:v>
      </x:c>
      <x:c r="I286" s="20" t="n">
        <x:f>IFERROR(G286/B286,0)</x:f>
        <x:v>0.75</x:v>
      </x:c>
      <x:c r="J286" s="20" t="n">
        <x:f>IFERROR(D286/C286,0)</x:f>
        <x:v>1</x:v>
      </x:c>
      <x:c r="K286" t="str">
        <x:f>IF(B286&lt;Assumptions!$B$8,"Insufficient",IF(I286&lt;Assumptions!$B$9,"High",IF(I286&lt;Assumptions!$B$10,"Medium","Low")))</x:f>
        <x:v>Insufficient</x:v>
      </x:c>
      <x:c r="L286" t="n">
        <x:v>0</x:v>
      </x:c>
    </x:row>
    <x:row r="287" ht="18" customHeight="1">
      <x:c r="A287" t="str">
        <x:v>Riffpedia</x:v>
      </x:c>
      <x:c r="B287" t="n">
        <x:v>3</x:v>
      </x:c>
      <x:c r="C287" t="n">
        <x:v>300</x:v>
      </x:c>
      <x:c r="D287" t="n">
        <x:v>256</x:v>
      </x:c>
      <x:c r="E287" s="22" t="n">
        <x:v>592.44</x:v>
      </x:c>
      <x:c r="F287" t="n">
        <x:v>3</x:v>
      </x:c>
      <x:c r="G287" t="n">
        <x:v>1</x:v>
      </x:c>
      <x:c r="H287" s="20" t="n">
        <x:f>IFERROR(F287/B287,0)</x:f>
        <x:v>1</x:v>
      </x:c>
      <x:c r="I287" s="20" t="n">
        <x:f>IFERROR(G287/B287,0)</x:f>
        <x:v>0.3333333333333333</x:v>
      </x:c>
      <x:c r="J287" s="20" t="n">
        <x:f>IFERROR(D287/C287,0)</x:f>
        <x:v>0.8533333333333334</x:v>
      </x:c>
      <x:c r="K287" t="str">
        <x:f>IF(B287&lt;Assumptions!$B$8,"Insufficient",IF(I287&lt;Assumptions!$B$9,"High",IF(I287&lt;Assumptions!$B$10,"Medium","Low")))</x:f>
        <x:v>Insufficient</x:v>
      </x:c>
      <x:c r="L287" t="n">
        <x:v>0</x:v>
      </x:c>
    </x:row>
    <x:row r="288" ht="18" customHeight="1">
      <x:c r="A288" t="str">
        <x:v>Edgeify</x:v>
      </x:c>
      <x:c r="B288" t="n">
        <x:v>4</x:v>
      </x:c>
      <x:c r="C288" t="n">
        <x:v>239</x:v>
      </x:c>
      <x:c r="D288" t="n">
        <x:v>226</x:v>
      </x:c>
      <x:c r="E288" s="22" t="n">
        <x:v>589.7</x:v>
      </x:c>
      <x:c r="F288" t="n">
        <x:v>2</x:v>
      </x:c>
      <x:c r="G288" t="n">
        <x:v>2</x:v>
      </x:c>
      <x:c r="H288" s="20" t="n">
        <x:f>IFERROR(F288/B288,0)</x:f>
        <x:v>0.5</x:v>
      </x:c>
      <x:c r="I288" s="20" t="n">
        <x:f>IFERROR(G288/B288,0)</x:f>
        <x:v>0.5</x:v>
      </x:c>
      <x:c r="J288" s="20" t="n">
        <x:f>IFERROR(D288/C288,0)</x:f>
        <x:v>0.9456066945606695</x:v>
      </x:c>
      <x:c r="K288" t="str">
        <x:f>IF(B288&lt;Assumptions!$B$8,"Insufficient",IF(I288&lt;Assumptions!$B$9,"High",IF(I288&lt;Assumptions!$B$10,"Medium","Low")))</x:f>
        <x:v>Insufficient</x:v>
      </x:c>
      <x:c r="L288" t="n">
        <x:v>0</x:v>
      </x:c>
    </x:row>
    <x:row r="289" ht="18" customHeight="1">
      <x:c r="A289" t="str">
        <x:v>Twiyo</x:v>
      </x:c>
      <x:c r="B289" t="n">
        <x:v>3</x:v>
      </x:c>
      <x:c r="C289" t="n">
        <x:v>110</x:v>
      </x:c>
      <x:c r="D289" t="n">
        <x:v>110</x:v>
      </x:c>
      <x:c r="E289" s="22" t="n">
        <x:v>575.39</x:v>
      </x:c>
      <x:c r="F289" t="n">
        <x:v>2</x:v>
      </x:c>
      <x:c r="G289" t="n">
        <x:v>2</x:v>
      </x:c>
      <x:c r="H289" s="20" t="n">
        <x:f>IFERROR(F289/B289,0)</x:f>
        <x:v>0.6666666666666666</x:v>
      </x:c>
      <x:c r="I289" s="20" t="n">
        <x:f>IFERROR(G289/B289,0)</x:f>
        <x:v>0.6666666666666666</x:v>
      </x:c>
      <x:c r="J289" s="20" t="n">
        <x:f>IFERROR(D289/C289,0)</x:f>
        <x:v>1</x:v>
      </x:c>
      <x:c r="K289" t="str">
        <x:f>IF(B289&lt;Assumptions!$B$8,"Insufficient",IF(I289&lt;Assumptions!$B$9,"High",IF(I289&lt;Assumptions!$B$10,"Medium","Low")))</x:f>
        <x:v>Insufficient</x:v>
      </x:c>
      <x:c r="L289" t="n">
        <x:v>0</x:v>
      </x:c>
    </x:row>
    <x:row r="290" ht="18" customHeight="1">
      <x:c r="A290" t="str">
        <x:v>Oba</x:v>
      </x:c>
      <x:c r="B290" t="n">
        <x:v>9</x:v>
      </x:c>
      <x:c r="C290" t="n">
        <x:v>326</x:v>
      </x:c>
      <x:c r="D290" t="n">
        <x:v>323</x:v>
      </x:c>
      <x:c r="E290" s="22" t="n">
        <x:v>563.37</x:v>
      </x:c>
      <x:c r="F290" t="n">
        <x:v>6</x:v>
      </x:c>
      <x:c r="G290" t="n">
        <x:v>6</x:v>
      </x:c>
      <x:c r="H290" s="20" t="n">
        <x:f>IFERROR(F290/B290,0)</x:f>
        <x:v>0.6666666666666666</x:v>
      </x:c>
      <x:c r="I290" s="20" t="n">
        <x:f>IFERROR(G290/B290,0)</x:f>
        <x:v>0.6666666666666666</x:v>
      </x:c>
      <x:c r="J290" s="20" t="n">
        <x:f>IFERROR(D290/C290,0)</x:f>
        <x:v>0.99079754601227</x:v>
      </x:c>
      <x:c r="K290" t="str">
        <x:f>IF(B290&lt;Assumptions!$B$8,"Insufficient",IF(I290&lt;Assumptions!$B$9,"High",IF(I290&lt;Assumptions!$B$10,"Medium","Low")))</x:f>
        <x:v>Medium</x:v>
      </x:c>
      <x:c r="L290" t="n">
        <x:v>0</x:v>
      </x:c>
    </x:row>
    <x:row r="291" ht="18" customHeight="1">
      <x:c r="A291" t="str">
        <x:v>Yozio</x:v>
      </x:c>
      <x:c r="B291" t="n">
        <x:v>7</x:v>
      </x:c>
      <x:c r="C291" t="n">
        <x:v>142</x:v>
      </x:c>
      <x:c r="D291" t="n">
        <x:v>142</x:v>
      </x:c>
      <x:c r="E291" s="22" t="n">
        <x:v>539.83</x:v>
      </x:c>
      <x:c r="F291" t="n">
        <x:v>6</x:v>
      </x:c>
      <x:c r="G291" t="n">
        <x:v>6</x:v>
      </x:c>
      <x:c r="H291" s="20" t="n">
        <x:f>IFERROR(F291/B291,0)</x:f>
        <x:v>0.8571428571428571</x:v>
      </x:c>
      <x:c r="I291" s="20" t="n">
        <x:f>IFERROR(G291/B291,0)</x:f>
        <x:v>0.8571428571428571</x:v>
      </x:c>
      <x:c r="J291" s="20" t="n">
        <x:f>IFERROR(D291/C291,0)</x:f>
        <x:v>1</x:v>
      </x:c>
      <x:c r="K291" t="str">
        <x:f>IF(B291&lt;Assumptions!$B$8,"Insufficient",IF(I291&lt;Assumptions!$B$9,"High",IF(I291&lt;Assumptions!$B$10,"Medium","Low")))</x:f>
        <x:v>Low</x:v>
      </x:c>
      <x:c r="L291" t="n">
        <x:v>0</x:v>
      </x:c>
    </x:row>
    <x:row r="292" ht="18" customHeight="1">
      <x:c r="A292" t="str">
        <x:v>Zoomlounge</x:v>
      </x:c>
      <x:c r="B292" t="n">
        <x:v>3</x:v>
      </x:c>
      <x:c r="C292" t="n">
        <x:v>177</x:v>
      </x:c>
      <x:c r="D292" t="n">
        <x:v>177</x:v>
      </x:c>
      <x:c r="E292" s="22" t="n">
        <x:v>533.26</x:v>
      </x:c>
      <x:c r="F292" t="n">
        <x:v>1</x:v>
      </x:c>
      <x:c r="G292" t="n">
        <x:v>1</x:v>
      </x:c>
      <x:c r="H292" s="20" t="n">
        <x:f>IFERROR(F292/B292,0)</x:f>
        <x:v>0.3333333333333333</x:v>
      </x:c>
      <x:c r="I292" s="20" t="n">
        <x:f>IFERROR(G292/B292,0)</x:f>
        <x:v>0.3333333333333333</x:v>
      </x:c>
      <x:c r="J292" s="20" t="n">
        <x:f>IFERROR(D292/C292,0)</x:f>
        <x:v>1</x:v>
      </x:c>
      <x:c r="K292" t="str">
        <x:f>IF(B292&lt;Assumptions!$B$8,"Insufficient",IF(I292&lt;Assumptions!$B$9,"High",IF(I292&lt;Assumptions!$B$10,"Medium","Low")))</x:f>
        <x:v>Insufficient</x:v>
      </x:c>
      <x:c r="L292" t="n">
        <x:v>0</x:v>
      </x:c>
    </x:row>
    <x:row r="293" ht="18" customHeight="1">
      <x:c r="A293" t="str">
        <x:v>Youopia</x:v>
      </x:c>
      <x:c r="B293" t="n">
        <x:v>6</x:v>
      </x:c>
      <x:c r="C293" t="n">
        <x:v>224</x:v>
      </x:c>
      <x:c r="D293" t="n">
        <x:v>179</x:v>
      </x:c>
      <x:c r="E293" s="22" t="n">
        <x:v>523.31</x:v>
      </x:c>
      <x:c r="F293" t="n">
        <x:v>4</x:v>
      </x:c>
      <x:c r="G293" t="n">
        <x:v>4</x:v>
      </x:c>
      <x:c r="H293" s="20" t="n">
        <x:f>IFERROR(F293/B293,0)</x:f>
        <x:v>0.6666666666666666</x:v>
      </x:c>
      <x:c r="I293" s="20" t="n">
        <x:f>IFERROR(G293/B293,0)</x:f>
        <x:v>0.6666666666666666</x:v>
      </x:c>
      <x:c r="J293" s="20" t="n">
        <x:f>IFERROR(D293/C293,0)</x:f>
        <x:v>0.7991071428571429</x:v>
      </x:c>
      <x:c r="K293" t="str">
        <x:f>IF(B293&lt;Assumptions!$B$8,"Insufficient",IF(I293&lt;Assumptions!$B$9,"High",IF(I293&lt;Assumptions!$B$10,"Medium","Low")))</x:f>
        <x:v>Medium</x:v>
      </x:c>
      <x:c r="L293" t="n">
        <x:v>0</x:v>
      </x:c>
    </x:row>
    <x:row r="294" ht="18" customHeight="1">
      <x:c r="A294" t="str">
        <x:v>Vitz</x:v>
      </x:c>
      <x:c r="B294" t="n">
        <x:v>7</x:v>
      </x:c>
      <x:c r="C294" t="n">
        <x:v>156</x:v>
      </x:c>
      <x:c r="D294" t="n">
        <x:v>145</x:v>
      </x:c>
      <x:c r="E294" s="22" t="n">
        <x:v>522.44</x:v>
      </x:c>
      <x:c r="F294" t="n">
        <x:v>5</x:v>
      </x:c>
      <x:c r="G294" t="n">
        <x:v>4</x:v>
      </x:c>
      <x:c r="H294" s="20" t="n">
        <x:f>IFERROR(F294/B294,0)</x:f>
        <x:v>0.7142857142857143</x:v>
      </x:c>
      <x:c r="I294" s="20" t="n">
        <x:f>IFERROR(G294/B294,0)</x:f>
        <x:v>0.5714285714285714</x:v>
      </x:c>
      <x:c r="J294" s="20" t="n">
        <x:f>IFERROR(D294/C294,0)</x:f>
        <x:v>0.9294871794871795</x:v>
      </x:c>
      <x:c r="K294" t="str">
        <x:f>IF(B294&lt;Assumptions!$B$8,"Insufficient",IF(I294&lt;Assumptions!$B$9,"High",IF(I294&lt;Assumptions!$B$10,"Medium","Low")))</x:f>
        <x:v>High</x:v>
      </x:c>
      <x:c r="L294" t="n">
        <x:v>0</x:v>
      </x:c>
    </x:row>
    <x:row r="295" ht="18" customHeight="1">
      <x:c r="A295" t="str">
        <x:v>InnoZ</x:v>
      </x:c>
      <x:c r="B295" t="n">
        <x:v>4</x:v>
      </x:c>
      <x:c r="C295" t="n">
        <x:v>137</x:v>
      </x:c>
      <x:c r="D295" t="n">
        <x:v>137</x:v>
      </x:c>
      <x:c r="E295" s="22" t="n">
        <x:v>493.5</x:v>
      </x:c>
      <x:c r="F295" t="n">
        <x:v>2</x:v>
      </x:c>
      <x:c r="G295" t="n">
        <x:v>2</x:v>
      </x:c>
      <x:c r="H295" s="20" t="n">
        <x:f>IFERROR(F295/B295,0)</x:f>
        <x:v>0.5</x:v>
      </x:c>
      <x:c r="I295" s="20" t="n">
        <x:f>IFERROR(G295/B295,0)</x:f>
        <x:v>0.5</x:v>
      </x:c>
      <x:c r="J295" s="20" t="n">
        <x:f>IFERROR(D295/C295,0)</x:f>
        <x:v>1</x:v>
      </x:c>
      <x:c r="K295" t="str">
        <x:f>IF(B295&lt;Assumptions!$B$8,"Insufficient",IF(I295&lt;Assumptions!$B$9,"High",IF(I295&lt;Assumptions!$B$10,"Medium","Low")))</x:f>
        <x:v>Insufficient</x:v>
      </x:c>
      <x:c r="L295" t="n">
        <x:v>0</x:v>
      </x:c>
    </x:row>
    <x:row r="296" ht="18" customHeight="1">
      <x:c r="A296" t="str">
        <x:v>Livefish</x:v>
      </x:c>
      <x:c r="B296" t="n">
        <x:v>4</x:v>
      </x:c>
      <x:c r="C296" t="n">
        <x:v>332</x:v>
      </x:c>
      <x:c r="D296" t="n">
        <x:v>332</x:v>
      </x:c>
      <x:c r="E296" s="22" t="n">
        <x:v>492.38</x:v>
      </x:c>
      <x:c r="F296" t="n">
        <x:v>3</x:v>
      </x:c>
      <x:c r="G296" t="n">
        <x:v>3</x:v>
      </x:c>
      <x:c r="H296" s="20" t="n">
        <x:f>IFERROR(F296/B296,0)</x:f>
        <x:v>0.75</x:v>
      </x:c>
      <x:c r="I296" s="20" t="n">
        <x:f>IFERROR(G296/B296,0)</x:f>
        <x:v>0.75</x:v>
      </x:c>
      <x:c r="J296" s="20" t="n">
        <x:f>IFERROR(D296/C296,0)</x:f>
        <x:v>1</x:v>
      </x:c>
      <x:c r="K296" t="str">
        <x:f>IF(B296&lt;Assumptions!$B$8,"Insufficient",IF(I296&lt;Assumptions!$B$9,"High",IF(I296&lt;Assumptions!$B$10,"Medium","Low")))</x:f>
        <x:v>Insufficient</x:v>
      </x:c>
      <x:c r="L296" t="n">
        <x:v>0</x:v>
      </x:c>
    </x:row>
    <x:row r="297" ht="18" customHeight="1">
      <x:c r="A297" t="str">
        <x:v>Mymm</x:v>
      </x:c>
      <x:c r="B297" t="n">
        <x:v>2</x:v>
      </x:c>
      <x:c r="C297" t="n">
        <x:v>69</x:v>
      </x:c>
      <x:c r="D297" t="n">
        <x:v>32</x:v>
      </x:c>
      <x:c r="E297" s="22" t="n">
        <x:v>487.19</x:v>
      </x:c>
      <x:c r="F297" t="n">
        <x:v>0</x:v>
      </x:c>
      <x:c r="G297" t="n">
        <x:v>0</x:v>
      </x:c>
      <x:c r="H297" s="20" t="n">
        <x:f>IFERROR(F297/B297,0)</x:f>
        <x:v>0</x:v>
      </x:c>
      <x:c r="I297" s="20" t="n">
        <x:f>IFERROR(G297/B297,0)</x:f>
        <x:v>0</x:v>
      </x:c>
      <x:c r="J297" s="20" t="n">
        <x:f>IFERROR(D297/C297,0)</x:f>
        <x:v>0.463768115942029</x:v>
      </x:c>
      <x:c r="K297" t="str">
        <x:f>IF(B297&lt;Assumptions!$B$8,"Insufficient",IF(I297&lt;Assumptions!$B$9,"High",IF(I297&lt;Assumptions!$B$10,"Medium","Low")))</x:f>
        <x:v>Insufficient</x:v>
      </x:c>
      <x:c r="L297" t="n">
        <x:v>1</x:v>
      </x:c>
    </x:row>
    <x:row r="298" ht="18" customHeight="1">
      <x:c r="A298" t="str">
        <x:v>Einti</x:v>
      </x:c>
      <x:c r="B298" t="n">
        <x:v>7</x:v>
      </x:c>
      <x:c r="C298" t="n">
        <x:v>327</x:v>
      </x:c>
      <x:c r="D298" t="n">
        <x:v>327</x:v>
      </x:c>
      <x:c r="E298" s="22" t="n">
        <x:v>478.84</x:v>
      </x:c>
      <x:c r="F298" t="n">
        <x:v>3</x:v>
      </x:c>
      <x:c r="G298" t="n">
        <x:v>3</x:v>
      </x:c>
      <x:c r="H298" s="20" t="n">
        <x:f>IFERROR(F298/B298,0)</x:f>
        <x:v>0.42857142857142855</x:v>
      </x:c>
      <x:c r="I298" s="20" t="n">
        <x:f>IFERROR(G298/B298,0)</x:f>
        <x:v>0.42857142857142855</x:v>
      </x:c>
      <x:c r="J298" s="20" t="n">
        <x:f>IFERROR(D298/C298,0)</x:f>
        <x:v>1</x:v>
      </x:c>
      <x:c r="K298" t="str">
        <x:f>IF(B298&lt;Assumptions!$B$8,"Insufficient",IF(I298&lt;Assumptions!$B$9,"High",IF(I298&lt;Assumptions!$B$10,"Medium","Low")))</x:f>
        <x:v>High</x:v>
      </x:c>
      <x:c r="L298" t="n">
        <x:v>0</x:v>
      </x:c>
    </x:row>
    <x:row r="299" ht="18" customHeight="1">
      <x:c r="A299" t="str">
        <x:v>Dabjam</x:v>
      </x:c>
      <x:c r="B299" t="n">
        <x:v>10</x:v>
      </x:c>
      <x:c r="C299" t="n">
        <x:v>180</x:v>
      </x:c>
      <x:c r="D299" t="n">
        <x:v>175</x:v>
      </x:c>
      <x:c r="E299" s="22" t="n">
        <x:v>475.78</x:v>
      </x:c>
      <x:c r="F299" t="n">
        <x:v>9</x:v>
      </x:c>
      <x:c r="G299" t="n">
        <x:v>8</x:v>
      </x:c>
      <x:c r="H299" s="20" t="n">
        <x:f>IFERROR(F299/B299,0)</x:f>
        <x:v>0.9</x:v>
      </x:c>
      <x:c r="I299" s="20" t="n">
        <x:f>IFERROR(G299/B299,0)</x:f>
        <x:v>0.8</x:v>
      </x:c>
      <x:c r="J299" s="20" t="n">
        <x:f>IFERROR(D299/C299,0)</x:f>
        <x:v>0.9722222222222222</x:v>
      </x:c>
      <x:c r="K299" t="str">
        <x:f>IF(B299&lt;Assumptions!$B$8,"Insufficient",IF(I299&lt;Assumptions!$B$9,"High",IF(I299&lt;Assumptions!$B$10,"Medium","Low")))</x:f>
        <x:v>Medium</x:v>
      </x:c>
      <x:c r="L299" t="n">
        <x:v>0</x:v>
      </x:c>
    </x:row>
    <x:row r="300" ht="18" customHeight="1">
      <x:c r="A300" t="str">
        <x:v>Brainlounge</x:v>
      </x:c>
      <x:c r="B300" t="n">
        <x:v>2</x:v>
      </x:c>
      <x:c r="C300" t="n">
        <x:v>210</x:v>
      </x:c>
      <x:c r="D300" t="n">
        <x:v>210</x:v>
      </x:c>
      <x:c r="E300" s="22" t="n">
        <x:v>475.3</x:v>
      </x:c>
      <x:c r="F300" t="n">
        <x:v>0</x:v>
      </x:c>
      <x:c r="G300" t="n">
        <x:v>0</x:v>
      </x:c>
      <x:c r="H300" s="20" t="n">
        <x:f>IFERROR(F300/B300,0)</x:f>
        <x:v>0</x:v>
      </x:c>
      <x:c r="I300" s="20" t="n">
        <x:f>IFERROR(G300/B300,0)</x:f>
        <x:v>0</x:v>
      </x:c>
      <x:c r="J300" s="20" t="n">
        <x:f>IFERROR(D300/C300,0)</x:f>
        <x:v>1</x:v>
      </x:c>
      <x:c r="K300" t="str">
        <x:f>IF(B300&lt;Assumptions!$B$8,"Insufficient",IF(I300&lt;Assumptions!$B$9,"High",IF(I300&lt;Assumptions!$B$10,"Medium","Low")))</x:f>
        <x:v>Insufficient</x:v>
      </x:c>
      <x:c r="L300" t="n">
        <x:v>0</x:v>
      </x:c>
    </x:row>
    <x:row r="301" ht="18" customHeight="1">
      <x:c r="A301" t="str">
        <x:v>Pixope</x:v>
      </x:c>
      <x:c r="B301" t="n">
        <x:v>4</x:v>
      </x:c>
      <x:c r="C301" t="n">
        <x:v>116</x:v>
      </x:c>
      <x:c r="D301" t="n">
        <x:v>116</x:v>
      </x:c>
      <x:c r="E301" s="22" t="n">
        <x:v>473.81</x:v>
      </x:c>
      <x:c r="F301" t="n">
        <x:v>4</x:v>
      </x:c>
      <x:c r="G301" t="n">
        <x:v>4</x:v>
      </x:c>
      <x:c r="H301" s="20" t="n">
        <x:f>IFERROR(F301/B301,0)</x:f>
        <x:v>1</x:v>
      </x:c>
      <x:c r="I301" s="20" t="n">
        <x:f>IFERROR(G301/B301,0)</x:f>
        <x:v>1</x:v>
      </x:c>
      <x:c r="J301" s="20" t="n">
        <x:f>IFERROR(D301/C301,0)</x:f>
        <x:v>1</x:v>
      </x:c>
      <x:c r="K301" t="str">
        <x:f>IF(B301&lt;Assumptions!$B$8,"Insufficient",IF(I301&lt;Assumptions!$B$9,"High",IF(I301&lt;Assumptions!$B$10,"Medium","Low")))</x:f>
        <x:v>Insufficient</x:v>
      </x:c>
      <x:c r="L301" t="n">
        <x:v>0</x:v>
      </x:c>
    </x:row>
    <x:row r="302" ht="18" customHeight="1">
      <x:c r="A302" t="str">
        <x:v>Zooveo</x:v>
      </x:c>
      <x:c r="B302" t="n">
        <x:v>2</x:v>
      </x:c>
      <x:c r="C302" t="n">
        <x:v>98</x:v>
      </x:c>
      <x:c r="D302" t="n">
        <x:v>98</x:v>
      </x:c>
      <x:c r="E302" s="22" t="n">
        <x:v>470.86</x:v>
      </x:c>
      <x:c r="F302" t="n">
        <x:v>1</x:v>
      </x:c>
      <x:c r="G302" t="n">
        <x:v>1</x:v>
      </x:c>
      <x:c r="H302" s="20" t="n">
        <x:f>IFERROR(F302/B302,0)</x:f>
        <x:v>0.5</x:v>
      </x:c>
      <x:c r="I302" s="20" t="n">
        <x:f>IFERROR(G302/B302,0)</x:f>
        <x:v>0.5</x:v>
      </x:c>
      <x:c r="J302" s="20" t="n">
        <x:f>IFERROR(D302/C302,0)</x:f>
        <x:v>1</x:v>
      </x:c>
      <x:c r="K302" t="str">
        <x:f>IF(B302&lt;Assumptions!$B$8,"Insufficient",IF(I302&lt;Assumptions!$B$9,"High",IF(I302&lt;Assumptions!$B$10,"Medium","Low")))</x:f>
        <x:v>Insufficient</x:v>
      </x:c>
      <x:c r="L302" t="n">
        <x:v>0</x:v>
      </x:c>
    </x:row>
    <x:row r="303" ht="18" customHeight="1">
      <x:c r="A303" t="str">
        <x:v>Yambee</x:v>
      </x:c>
      <x:c r="B303" t="n">
        <x:v>5</x:v>
      </x:c>
      <x:c r="C303" t="n">
        <x:v>196</x:v>
      </x:c>
      <x:c r="D303" t="n">
        <x:v>196</x:v>
      </x:c>
      <x:c r="E303" s="22" t="n">
        <x:v>464.56</x:v>
      </x:c>
      <x:c r="F303" t="n">
        <x:v>5</x:v>
      </x:c>
      <x:c r="G303" t="n">
        <x:v>5</x:v>
      </x:c>
      <x:c r="H303" s="20" t="n">
        <x:f>IFERROR(F303/B303,0)</x:f>
        <x:v>1</x:v>
      </x:c>
      <x:c r="I303" s="20" t="n">
        <x:f>IFERROR(G303/B303,0)</x:f>
        <x:v>1</x:v>
      </x:c>
      <x:c r="J303" s="20" t="n">
        <x:f>IFERROR(D303/C303,0)</x:f>
        <x:v>1</x:v>
      </x:c>
      <x:c r="K303" t="str">
        <x:f>IF(B303&lt;Assumptions!$B$8,"Insufficient",IF(I303&lt;Assumptions!$B$9,"High",IF(I303&lt;Assumptions!$B$10,"Medium","Low")))</x:f>
        <x:v>Low</x:v>
      </x:c>
      <x:c r="L303" t="n">
        <x:v>0</x:v>
      </x:c>
    </x:row>
    <x:row r="304" ht="18" customHeight="1">
      <x:c r="A304" t="str">
        <x:v>Tavu</x:v>
      </x:c>
      <x:c r="B304" t="n">
        <x:v>6</x:v>
      </x:c>
      <x:c r="C304" t="n">
        <x:v>231</x:v>
      </x:c>
      <x:c r="D304" t="n">
        <x:v>231</x:v>
      </x:c>
      <x:c r="E304" s="22" t="n">
        <x:v>441.7</x:v>
      </x:c>
      <x:c r="F304" t="n">
        <x:v>4</x:v>
      </x:c>
      <x:c r="G304" t="n">
        <x:v>4</x:v>
      </x:c>
      <x:c r="H304" s="20" t="n">
        <x:f>IFERROR(F304/B304,0)</x:f>
        <x:v>0.6666666666666666</x:v>
      </x:c>
      <x:c r="I304" s="20" t="n">
        <x:f>IFERROR(G304/B304,0)</x:f>
        <x:v>0.6666666666666666</x:v>
      </x:c>
      <x:c r="J304" s="20" t="n">
        <x:f>IFERROR(D304/C304,0)</x:f>
        <x:v>1</x:v>
      </x:c>
      <x:c r="K304" t="str">
        <x:f>IF(B304&lt;Assumptions!$B$8,"Insufficient",IF(I304&lt;Assumptions!$B$9,"High",IF(I304&lt;Assumptions!$B$10,"Medium","Low")))</x:f>
        <x:v>Medium</x:v>
      </x:c>
      <x:c r="L304" t="n">
        <x:v>0</x:v>
      </x:c>
    </x:row>
    <x:row r="305" ht="18" customHeight="1">
      <x:c r="A305" t="str">
        <x:v>Quimm</x:v>
      </x:c>
      <x:c r="B305" t="n">
        <x:v>3</x:v>
      </x:c>
      <x:c r="C305" t="n">
        <x:v>237</x:v>
      </x:c>
      <x:c r="D305" t="n">
        <x:v>201</x:v>
      </x:c>
      <x:c r="E305" s="22" t="n">
        <x:v>436.81</x:v>
      </x:c>
      <x:c r="F305" t="n">
        <x:v>2</x:v>
      </x:c>
      <x:c r="G305" t="n">
        <x:v>1</x:v>
      </x:c>
      <x:c r="H305" s="20" t="n">
        <x:f>IFERROR(F305/B305,0)</x:f>
        <x:v>0.6666666666666666</x:v>
      </x:c>
      <x:c r="I305" s="20" t="n">
        <x:f>IFERROR(G305/B305,0)</x:f>
        <x:v>0.3333333333333333</x:v>
      </x:c>
      <x:c r="J305" s="20" t="n">
        <x:f>IFERROR(D305/C305,0)</x:f>
        <x:v>0.8481012658227848</x:v>
      </x:c>
      <x:c r="K305" t="str">
        <x:f>IF(B305&lt;Assumptions!$B$8,"Insufficient",IF(I305&lt;Assumptions!$B$9,"High",IF(I305&lt;Assumptions!$B$10,"Medium","Low")))</x:f>
        <x:v>Insufficient</x:v>
      </x:c>
      <x:c r="L305" t="n">
        <x:v>0</x:v>
      </x:c>
    </x:row>
    <x:row r="306" ht="18" customHeight="1">
      <x:c r="A306" t="str">
        <x:v>Twimm</x:v>
      </x:c>
      <x:c r="B306" t="n">
        <x:v>6</x:v>
      </x:c>
      <x:c r="C306" t="n">
        <x:v>237</x:v>
      </x:c>
      <x:c r="D306" t="n">
        <x:v>237</x:v>
      </x:c>
      <x:c r="E306" s="22" t="n">
        <x:v>429.49</x:v>
      </x:c>
      <x:c r="F306" t="n">
        <x:v>4</x:v>
      </x:c>
      <x:c r="G306" t="n">
        <x:v>4</x:v>
      </x:c>
      <x:c r="H306" s="20" t="n">
        <x:f>IFERROR(F306/B306,0)</x:f>
        <x:v>0.6666666666666666</x:v>
      </x:c>
      <x:c r="I306" s="20" t="n">
        <x:f>IFERROR(G306/B306,0)</x:f>
        <x:v>0.6666666666666666</x:v>
      </x:c>
      <x:c r="J306" s="20" t="n">
        <x:f>IFERROR(D306/C306,0)</x:f>
        <x:v>1</x:v>
      </x:c>
      <x:c r="K306" t="str">
        <x:f>IF(B306&lt;Assumptions!$B$8,"Insufficient",IF(I306&lt;Assumptions!$B$9,"High",IF(I306&lt;Assumptions!$B$10,"Medium","Low")))</x:f>
        <x:v>Medium</x:v>
      </x:c>
      <x:c r="L306" t="n">
        <x:v>0</x:v>
      </x:c>
    </x:row>
    <x:row r="307" ht="18" customHeight="1">
      <x:c r="A307" t="str">
        <x:v>Twitterlist</x:v>
      </x:c>
      <x:c r="B307" t="n">
        <x:v>2</x:v>
      </x:c>
      <x:c r="C307" t="n">
        <x:v>195</x:v>
      </x:c>
      <x:c r="D307" t="n">
        <x:v>195</x:v>
      </x:c>
      <x:c r="E307" s="22" t="n">
        <x:v>424.89</x:v>
      </x:c>
      <x:c r="F307" t="n">
        <x:v>1</x:v>
      </x:c>
      <x:c r="G307" t="n">
        <x:v>1</x:v>
      </x:c>
      <x:c r="H307" s="20" t="n">
        <x:f>IFERROR(F307/B307,0)</x:f>
        <x:v>0.5</x:v>
      </x:c>
      <x:c r="I307" s="20" t="n">
        <x:f>IFERROR(G307/B307,0)</x:f>
        <x:v>0.5</x:v>
      </x:c>
      <x:c r="J307" s="20" t="n">
        <x:f>IFERROR(D307/C307,0)</x:f>
        <x:v>1</x:v>
      </x:c>
      <x:c r="K307" t="str">
        <x:f>IF(B307&lt;Assumptions!$B$8,"Insufficient",IF(I307&lt;Assumptions!$B$9,"High",IF(I307&lt;Assumptions!$B$10,"Medium","Low")))</x:f>
        <x:v>Insufficient</x:v>
      </x:c>
      <x:c r="L307" t="n">
        <x:v>0</x:v>
      </x:c>
    </x:row>
    <x:row r="308" ht="18" customHeight="1">
      <x:c r="A308" t="str">
        <x:v>Browsedrive</x:v>
      </x:c>
      <x:c r="B308" t="n">
        <x:v>4</x:v>
      </x:c>
      <x:c r="C308" t="n">
        <x:v>228</x:v>
      </x:c>
      <x:c r="D308" t="n">
        <x:v>216</x:v>
      </x:c>
      <x:c r="E308" s="22" t="n">
        <x:v>417.32</x:v>
      </x:c>
      <x:c r="F308" t="n">
        <x:v>3</x:v>
      </x:c>
      <x:c r="G308" t="n">
        <x:v>3</x:v>
      </x:c>
      <x:c r="H308" s="20" t="n">
        <x:f>IFERROR(F308/B308,0)</x:f>
        <x:v>0.75</x:v>
      </x:c>
      <x:c r="I308" s="20" t="n">
        <x:f>IFERROR(G308/B308,0)</x:f>
        <x:v>0.75</x:v>
      </x:c>
      <x:c r="J308" s="20" t="n">
        <x:f>IFERROR(D308/C308,0)</x:f>
        <x:v>0.9473684210526315</x:v>
      </x:c>
      <x:c r="K308" t="str">
        <x:f>IF(B308&lt;Assumptions!$B$8,"Insufficient",IF(I308&lt;Assumptions!$B$9,"High",IF(I308&lt;Assumptions!$B$10,"Medium","Low")))</x:f>
        <x:v>Insufficient</x:v>
      </x:c>
      <x:c r="L308" t="n">
        <x:v>0</x:v>
      </x:c>
    </x:row>
    <x:row r="309" ht="18" customHeight="1">
      <x:c r="A309" t="str">
        <x:v>Avamm</x:v>
      </x:c>
      <x:c r="B309" t="n">
        <x:v>6</x:v>
      </x:c>
      <x:c r="C309" t="n">
        <x:v>183</x:v>
      </x:c>
      <x:c r="D309" t="n">
        <x:v>183</x:v>
      </x:c>
      <x:c r="E309" s="22" t="n">
        <x:v>390.44</x:v>
      </x:c>
      <x:c r="F309" t="n">
        <x:v>4</x:v>
      </x:c>
      <x:c r="G309" t="n">
        <x:v>4</x:v>
      </x:c>
      <x:c r="H309" s="20" t="n">
        <x:f>IFERROR(F309/B309,0)</x:f>
        <x:v>0.6666666666666666</x:v>
      </x:c>
      <x:c r="I309" s="20" t="n">
        <x:f>IFERROR(G309/B309,0)</x:f>
        <x:v>0.6666666666666666</x:v>
      </x:c>
      <x:c r="J309" s="20" t="n">
        <x:f>IFERROR(D309/C309,0)</x:f>
        <x:v>1</x:v>
      </x:c>
      <x:c r="K309" t="str">
        <x:f>IF(B309&lt;Assumptions!$B$8,"Insufficient",IF(I309&lt;Assumptions!$B$9,"High",IF(I309&lt;Assumptions!$B$10,"Medium","Low")))</x:f>
        <x:v>Medium</x:v>
      </x:c>
      <x:c r="L309" t="n">
        <x:v>0</x:v>
      </x:c>
    </x:row>
    <x:row r="310" ht="18" customHeight="1">
      <x:c r="A310" t="str">
        <x:v>Zooxo</x:v>
      </x:c>
      <x:c r="B310" t="n">
        <x:v>6</x:v>
      </x:c>
      <x:c r="C310" t="n">
        <x:v>268</x:v>
      </x:c>
      <x:c r="D310" t="n">
        <x:v>268</x:v>
      </x:c>
      <x:c r="E310" s="22" t="n">
        <x:v>389.47</x:v>
      </x:c>
      <x:c r="F310" t="n">
        <x:v>6</x:v>
      </x:c>
      <x:c r="G310" t="n">
        <x:v>6</x:v>
      </x:c>
      <x:c r="H310" s="20" t="n">
        <x:f>IFERROR(F310/B310,0)</x:f>
        <x:v>1</x:v>
      </x:c>
      <x:c r="I310" s="20" t="n">
        <x:f>IFERROR(G310/B310,0)</x:f>
        <x:v>1</x:v>
      </x:c>
      <x:c r="J310" s="20" t="n">
        <x:f>IFERROR(D310/C310,0)</x:f>
        <x:v>1</x:v>
      </x:c>
      <x:c r="K310" t="str">
        <x:f>IF(B310&lt;Assumptions!$B$8,"Insufficient",IF(I310&lt;Assumptions!$B$9,"High",IF(I310&lt;Assumptions!$B$10,"Medium","Low")))</x:f>
        <x:v>Low</x:v>
      </x:c>
      <x:c r="L310" t="n">
        <x:v>0</x:v>
      </x:c>
    </x:row>
    <x:row r="311" ht="18" customHeight="1">
      <x:c r="A311" t="str">
        <x:v>Bluejam</x:v>
      </x:c>
      <x:c r="B311" t="n">
        <x:v>6</x:v>
      </x:c>
      <x:c r="C311" t="n">
        <x:v>93</x:v>
      </x:c>
      <x:c r="D311" t="n">
        <x:v>93</x:v>
      </x:c>
      <x:c r="E311" s="22" t="n">
        <x:v>383.65</x:v>
      </x:c>
      <x:c r="F311" t="n">
        <x:v>5</x:v>
      </x:c>
      <x:c r="G311" t="n">
        <x:v>5</x:v>
      </x:c>
      <x:c r="H311" s="20" t="n">
        <x:f>IFERROR(F311/B311,0)</x:f>
        <x:v>0.8333333333333334</x:v>
      </x:c>
      <x:c r="I311" s="20" t="n">
        <x:f>IFERROR(G311/B311,0)</x:f>
        <x:v>0.8333333333333334</x:v>
      </x:c>
      <x:c r="J311" s="20" t="n">
        <x:f>IFERROR(D311/C311,0)</x:f>
        <x:v>1</x:v>
      </x:c>
      <x:c r="K311" t="str">
        <x:f>IF(B311&lt;Assumptions!$B$8,"Insufficient",IF(I311&lt;Assumptions!$B$9,"High",IF(I311&lt;Assumptions!$B$10,"Medium","Low")))</x:f>
        <x:v>Medium</x:v>
      </x:c>
      <x:c r="L311" t="n">
        <x:v>0</x:v>
      </x:c>
    </x:row>
    <x:row r="312" ht="18" customHeight="1">
      <x:c r="A312" t="str">
        <x:v>Tambee</x:v>
      </x:c>
      <x:c r="B312" t="n">
        <x:v>4</x:v>
      </x:c>
      <x:c r="C312" t="n">
        <x:v>160</x:v>
      </x:c>
      <x:c r="D312" t="n">
        <x:v>95</x:v>
      </x:c>
      <x:c r="E312" s="22" t="n">
        <x:v>383.02</x:v>
      </x:c>
      <x:c r="F312" t="n">
        <x:v>2</x:v>
      </x:c>
      <x:c r="G312" t="n">
        <x:v>2</x:v>
      </x:c>
      <x:c r="H312" s="20" t="n">
        <x:f>IFERROR(F312/B312,0)</x:f>
        <x:v>0.5</x:v>
      </x:c>
      <x:c r="I312" s="20" t="n">
        <x:f>IFERROR(G312/B312,0)</x:f>
        <x:v>0.5</x:v>
      </x:c>
      <x:c r="J312" s="20" t="n">
        <x:f>IFERROR(D312/C312,0)</x:f>
        <x:v>0.59375</x:v>
      </x:c>
      <x:c r="K312" t="str">
        <x:f>IF(B312&lt;Assumptions!$B$8,"Insufficient",IF(I312&lt;Assumptions!$B$9,"High",IF(I312&lt;Assumptions!$B$10,"Medium","Low")))</x:f>
        <x:v>Insufficient</x:v>
      </x:c>
      <x:c r="L312" t="n">
        <x:v>1</x:v>
      </x:c>
    </x:row>
    <x:row r="313" ht="18" customHeight="1">
      <x:c r="A313" t="str">
        <x:v>Skiba</x:v>
      </x:c>
      <x:c r="B313" t="n">
        <x:v>3</x:v>
      </x:c>
      <x:c r="C313" t="n">
        <x:v>297</x:v>
      </x:c>
      <x:c r="D313" t="n">
        <x:v>297</x:v>
      </x:c>
      <x:c r="E313" s="22" t="n">
        <x:v>369.38</x:v>
      </x:c>
      <x:c r="F313" t="n">
        <x:v>3</x:v>
      </x:c>
      <x:c r="G313" t="n">
        <x:v>3</x:v>
      </x:c>
      <x:c r="H313" s="20" t="n">
        <x:f>IFERROR(F313/B313,0)</x:f>
        <x:v>1</x:v>
      </x:c>
      <x:c r="I313" s="20" t="n">
        <x:f>IFERROR(G313/B313,0)</x:f>
        <x:v>1</x:v>
      </x:c>
      <x:c r="J313" s="20" t="n">
        <x:f>IFERROR(D313/C313,0)</x:f>
        <x:v>1</x:v>
      </x:c>
      <x:c r="K313" t="str">
        <x:f>IF(B313&lt;Assumptions!$B$8,"Insufficient",IF(I313&lt;Assumptions!$B$9,"High",IF(I313&lt;Assumptions!$B$10,"Medium","Low")))</x:f>
        <x:v>Insufficient</x:v>
      </x:c>
      <x:c r="L313" t="n">
        <x:v>0</x:v>
      </x:c>
    </x:row>
    <x:row r="314" ht="18" customHeight="1">
      <x:c r="A314" t="str">
        <x:v>Skippad</x:v>
      </x:c>
      <x:c r="B314" t="n">
        <x:v>4</x:v>
      </x:c>
      <x:c r="C314" t="n">
        <x:v>95</x:v>
      </x:c>
      <x:c r="D314" t="n">
        <x:v>95</x:v>
      </x:c>
      <x:c r="E314" s="22" t="n">
        <x:v>362.72</x:v>
      </x:c>
      <x:c r="F314" t="n">
        <x:v>2</x:v>
      </x:c>
      <x:c r="G314" t="n">
        <x:v>2</x:v>
      </x:c>
      <x:c r="H314" s="20" t="n">
        <x:f>IFERROR(F314/B314,0)</x:f>
        <x:v>0.5</x:v>
      </x:c>
      <x:c r="I314" s="20" t="n">
        <x:f>IFERROR(G314/B314,0)</x:f>
        <x:v>0.5</x:v>
      </x:c>
      <x:c r="J314" s="20" t="n">
        <x:f>IFERROR(D314/C314,0)</x:f>
        <x:v>1</x:v>
      </x:c>
      <x:c r="K314" t="str">
        <x:f>IF(B314&lt;Assumptions!$B$8,"Insufficient",IF(I314&lt;Assumptions!$B$9,"High",IF(I314&lt;Assumptions!$B$10,"Medium","Low")))</x:f>
        <x:v>Insufficient</x:v>
      </x:c>
      <x:c r="L314" t="n">
        <x:v>0</x:v>
      </x:c>
    </x:row>
    <x:row r="315" ht="18" customHeight="1">
      <x:c r="A315" t="str">
        <x:v>Tagfeed</x:v>
      </x:c>
      <x:c r="B315" t="n">
        <x:v>6</x:v>
      </x:c>
      <x:c r="C315" t="n">
        <x:v>239</x:v>
      </x:c>
      <x:c r="D315" t="n">
        <x:v>239</x:v>
      </x:c>
      <x:c r="E315" s="22" t="n">
        <x:v>362</x:v>
      </x:c>
      <x:c r="F315" t="n">
        <x:v>4</x:v>
      </x:c>
      <x:c r="G315" t="n">
        <x:v>4</x:v>
      </x:c>
      <x:c r="H315" s="20" t="n">
        <x:f>IFERROR(F315/B315,0)</x:f>
        <x:v>0.6666666666666666</x:v>
      </x:c>
      <x:c r="I315" s="20" t="n">
        <x:f>IFERROR(G315/B315,0)</x:f>
        <x:v>0.6666666666666666</x:v>
      </x:c>
      <x:c r="J315" s="20" t="n">
        <x:f>IFERROR(D315/C315,0)</x:f>
        <x:v>1</x:v>
      </x:c>
      <x:c r="K315" t="str">
        <x:f>IF(B315&lt;Assumptions!$B$8,"Insufficient",IF(I315&lt;Assumptions!$B$9,"High",IF(I315&lt;Assumptions!$B$10,"Medium","Low")))</x:f>
        <x:v>Medium</x:v>
      </x:c>
      <x:c r="L315" t="n">
        <x:v>0</x:v>
      </x:c>
    </x:row>
    <x:row r="316" ht="18" customHeight="1">
      <x:c r="A316" t="str">
        <x:v>Podcat</x:v>
      </x:c>
      <x:c r="B316" t="n">
        <x:v>3</x:v>
      </x:c>
      <x:c r="C316" t="n">
        <x:v>58</x:v>
      </x:c>
      <x:c r="D316" t="n">
        <x:v>58</x:v>
      </x:c>
      <x:c r="E316" s="22" t="n">
        <x:v>353.56</x:v>
      </x:c>
      <x:c r="F316" t="n">
        <x:v>1</x:v>
      </x:c>
      <x:c r="G316" t="n">
        <x:v>1</x:v>
      </x:c>
      <x:c r="H316" s="20" t="n">
        <x:f>IFERROR(F316/B316,0)</x:f>
        <x:v>0.3333333333333333</x:v>
      </x:c>
      <x:c r="I316" s="20" t="n">
        <x:f>IFERROR(G316/B316,0)</x:f>
        <x:v>0.3333333333333333</x:v>
      </x:c>
      <x:c r="J316" s="20" t="n">
        <x:f>IFERROR(D316/C316,0)</x:f>
        <x:v>1</x:v>
      </x:c>
      <x:c r="K316" t="str">
        <x:f>IF(B316&lt;Assumptions!$B$8,"Insufficient",IF(I316&lt;Assumptions!$B$9,"High",IF(I316&lt;Assumptions!$B$10,"Medium","Low")))</x:f>
        <x:v>Insufficient</x:v>
      </x:c>
      <x:c r="L316" t="n">
        <x:v>0</x:v>
      </x:c>
    </x:row>
    <x:row r="317" ht="18" customHeight="1">
      <x:c r="A317" t="str">
        <x:v>Zoomzone</x:v>
      </x:c>
      <x:c r="B317" t="n">
        <x:v>3</x:v>
      </x:c>
      <x:c r="C317" t="n">
        <x:v>88</x:v>
      </x:c>
      <x:c r="D317" t="n">
        <x:v>88</x:v>
      </x:c>
      <x:c r="E317" s="22" t="n">
        <x:v>324.4</x:v>
      </x:c>
      <x:c r="F317" t="n">
        <x:v>3</x:v>
      </x:c>
      <x:c r="G317" t="n">
        <x:v>3</x:v>
      </x:c>
      <x:c r="H317" s="20" t="n">
        <x:f>IFERROR(F317/B317,0)</x:f>
        <x:v>1</x:v>
      </x:c>
      <x:c r="I317" s="20" t="n">
        <x:f>IFERROR(G317/B317,0)</x:f>
        <x:v>1</x:v>
      </x:c>
      <x:c r="J317" s="20" t="n">
        <x:f>IFERROR(D317/C317,0)</x:f>
        <x:v>1</x:v>
      </x:c>
      <x:c r="K317" t="str">
        <x:f>IF(B317&lt;Assumptions!$B$8,"Insufficient",IF(I317&lt;Assumptions!$B$9,"High",IF(I317&lt;Assumptions!$B$10,"Medium","Low")))</x:f>
        <x:v>Insufficient</x:v>
      </x:c>
      <x:c r="L317" t="n">
        <x:v>0</x:v>
      </x:c>
    </x:row>
    <x:row r="318" ht="18" customHeight="1">
      <x:c r="A318" t="str">
        <x:v>Fivespan</x:v>
      </x:c>
      <x:c r="B318" t="n">
        <x:v>2</x:v>
      </x:c>
      <x:c r="C318" t="n">
        <x:v>206</x:v>
      </x:c>
      <x:c r="D318" t="n">
        <x:v>81</x:v>
      </x:c>
      <x:c r="E318" s="22" t="n">
        <x:v>321.36</x:v>
      </x:c>
      <x:c r="F318" t="n">
        <x:v>1</x:v>
      </x:c>
      <x:c r="G318" t="n">
        <x:v>1</x:v>
      </x:c>
      <x:c r="H318" s="20" t="n">
        <x:f>IFERROR(F318/B318,0)</x:f>
        <x:v>0.5</x:v>
      </x:c>
      <x:c r="I318" s="20" t="n">
        <x:f>IFERROR(G318/B318,0)</x:f>
        <x:v>0.5</x:v>
      </x:c>
      <x:c r="J318" s="20" t="n">
        <x:f>IFERROR(D318/C318,0)</x:f>
        <x:v>0.3932038834951456</x:v>
      </x:c>
      <x:c r="K318" t="str">
        <x:f>IF(B318&lt;Assumptions!$B$8,"Insufficient",IF(I318&lt;Assumptions!$B$9,"High",IF(I318&lt;Assumptions!$B$10,"Medium","Low")))</x:f>
        <x:v>Insufficient</x:v>
      </x:c>
      <x:c r="L318" t="n">
        <x:v>1</x:v>
      </x:c>
    </x:row>
    <x:row r="319" ht="18" customHeight="1">
      <x:c r="A319" t="str">
        <x:v>Photojam</x:v>
      </x:c>
      <x:c r="B319" t="n">
        <x:v>3</x:v>
      </x:c>
      <x:c r="C319" t="n">
        <x:v>106</x:v>
      </x:c>
      <x:c r="D319" t="n">
        <x:v>92</x:v>
      </x:c>
      <x:c r="E319" s="22" t="n">
        <x:v>319.61</x:v>
      </x:c>
      <x:c r="F319" t="n">
        <x:v>2</x:v>
      </x:c>
      <x:c r="G319" t="n">
        <x:v>1</x:v>
      </x:c>
      <x:c r="H319" s="20" t="n">
        <x:f>IFERROR(F319/B319,0)</x:f>
        <x:v>0.6666666666666666</x:v>
      </x:c>
      <x:c r="I319" s="20" t="n">
        <x:f>IFERROR(G319/B319,0)</x:f>
        <x:v>0.3333333333333333</x:v>
      </x:c>
      <x:c r="J319" s="20" t="n">
        <x:f>IFERROR(D319/C319,0)</x:f>
        <x:v>0.8679245283018868</x:v>
      </x:c>
      <x:c r="K319" t="str">
        <x:f>IF(B319&lt;Assumptions!$B$8,"Insufficient",IF(I319&lt;Assumptions!$B$9,"High",IF(I319&lt;Assumptions!$B$10,"Medium","Low")))</x:f>
        <x:v>Insufficient</x:v>
      </x:c>
      <x:c r="L319" t="n">
        <x:v>0</x:v>
      </x:c>
    </x:row>
    <x:row r="320" ht="18" customHeight="1">
      <x:c r="A320" t="str">
        <x:v>Eazzy</x:v>
      </x:c>
      <x:c r="B320" t="n">
        <x:v>3</x:v>
      </x:c>
      <x:c r="C320" t="n">
        <x:v>80</x:v>
      </x:c>
      <x:c r="D320" t="n">
        <x:v>80</x:v>
      </x:c>
      <x:c r="E320" s="22" t="n">
        <x:v>314.65</x:v>
      </x:c>
      <x:c r="F320" t="n">
        <x:v>3</x:v>
      </x:c>
      <x:c r="G320" t="n">
        <x:v>3</x:v>
      </x:c>
      <x:c r="H320" s="20" t="n">
        <x:f>IFERROR(F320/B320,0)</x:f>
        <x:v>1</x:v>
      </x:c>
      <x:c r="I320" s="20" t="n">
        <x:f>IFERROR(G320/B320,0)</x:f>
        <x:v>1</x:v>
      </x:c>
      <x:c r="J320" s="20" t="n">
        <x:f>IFERROR(D320/C320,0)</x:f>
        <x:v>1</x:v>
      </x:c>
      <x:c r="K320" t="str">
        <x:f>IF(B320&lt;Assumptions!$B$8,"Insufficient",IF(I320&lt;Assumptions!$B$9,"High",IF(I320&lt;Assumptions!$B$10,"Medium","Low")))</x:f>
        <x:v>Insufficient</x:v>
      </x:c>
      <x:c r="L320" t="n">
        <x:v>0</x:v>
      </x:c>
    </x:row>
    <x:row r="321" ht="18" customHeight="1">
      <x:c r="A321" t="str">
        <x:v>Twinte</x:v>
      </x:c>
      <x:c r="B321" t="n">
        <x:v>2</x:v>
      </x:c>
      <x:c r="C321" t="n">
        <x:v>195</x:v>
      </x:c>
      <x:c r="D321" t="n">
        <x:v>195</x:v>
      </x:c>
      <x:c r="E321" s="22" t="n">
        <x:v>292.47</x:v>
      </x:c>
      <x:c r="F321" t="n">
        <x:v>2</x:v>
      </x:c>
      <x:c r="G321" t="n">
        <x:v>2</x:v>
      </x:c>
      <x:c r="H321" s="20" t="n">
        <x:f>IFERROR(F321/B321,0)</x:f>
        <x:v>1</x:v>
      </x:c>
      <x:c r="I321" s="20" t="n">
        <x:f>IFERROR(G321/B321,0)</x:f>
        <x:v>1</x:v>
      </x:c>
      <x:c r="J321" s="20" t="n">
        <x:f>IFERROR(D321/C321,0)</x:f>
        <x:v>1</x:v>
      </x:c>
      <x:c r="K321" t="str">
        <x:f>IF(B321&lt;Assumptions!$B$8,"Insufficient",IF(I321&lt;Assumptions!$B$9,"High",IF(I321&lt;Assumptions!$B$10,"Medium","Low")))</x:f>
        <x:v>Insufficient</x:v>
      </x:c>
      <x:c r="L321" t="n">
        <x:v>0</x:v>
      </x:c>
    </x:row>
    <x:row r="322" ht="18" customHeight="1">
      <x:c r="A322" t="str">
        <x:v>Trupe</x:v>
      </x:c>
      <x:c r="B322" t="n">
        <x:v>6</x:v>
      </x:c>
      <x:c r="C322" t="n">
        <x:v>176</x:v>
      </x:c>
      <x:c r="D322" t="n">
        <x:v>176</x:v>
      </x:c>
      <x:c r="E322" s="22" t="n">
        <x:v>280.99</x:v>
      </x:c>
      <x:c r="F322" t="n">
        <x:v>5</x:v>
      </x:c>
      <x:c r="G322" t="n">
        <x:v>5</x:v>
      </x:c>
      <x:c r="H322" s="20" t="n">
        <x:f>IFERROR(F322/B322,0)</x:f>
        <x:v>0.8333333333333334</x:v>
      </x:c>
      <x:c r="I322" s="20" t="n">
        <x:f>IFERROR(G322/B322,0)</x:f>
        <x:v>0.8333333333333334</x:v>
      </x:c>
      <x:c r="J322" s="20" t="n">
        <x:f>IFERROR(D322/C322,0)</x:f>
        <x:v>1</x:v>
      </x:c>
      <x:c r="K322" t="str">
        <x:f>IF(B322&lt;Assumptions!$B$8,"Insufficient",IF(I322&lt;Assumptions!$B$9,"High",IF(I322&lt;Assumptions!$B$10,"Medium","Low")))</x:f>
        <x:v>Medium</x:v>
      </x:c>
      <x:c r="L322" t="n">
        <x:v>0</x:v>
      </x:c>
    </x:row>
    <x:row r="323" ht="18" customHeight="1">
      <x:c r="A323" t="str">
        <x:v>Skinte</x:v>
      </x:c>
      <x:c r="B323" t="n">
        <x:v>5</x:v>
      </x:c>
      <x:c r="C323" t="n">
        <x:v>191</x:v>
      </x:c>
      <x:c r="D323" t="n">
        <x:v>184</x:v>
      </x:c>
      <x:c r="E323" s="22" t="n">
        <x:v>278.93</x:v>
      </x:c>
      <x:c r="F323" t="n">
        <x:v>2</x:v>
      </x:c>
      <x:c r="G323" t="n">
        <x:v>2</x:v>
      </x:c>
      <x:c r="H323" s="20" t="n">
        <x:f>IFERROR(F323/B323,0)</x:f>
        <x:v>0.4</x:v>
      </x:c>
      <x:c r="I323" s="20" t="n">
        <x:f>IFERROR(G323/B323,0)</x:f>
        <x:v>0.4</x:v>
      </x:c>
      <x:c r="J323" s="20" t="n">
        <x:f>IFERROR(D323/C323,0)</x:f>
        <x:v>0.9633507853403142</x:v>
      </x:c>
      <x:c r="K323" t="str">
        <x:f>IF(B323&lt;Assumptions!$B$8,"Insufficient",IF(I323&lt;Assumptions!$B$9,"High",IF(I323&lt;Assumptions!$B$10,"Medium","Low")))</x:f>
        <x:v>High</x:v>
      </x:c>
      <x:c r="L323" t="n">
        <x:v>0</x:v>
      </x:c>
    </x:row>
    <x:row r="324" ht="18" customHeight="1">
      <x:c r="A324" t="str">
        <x:v>Thoughtworks</x:v>
      </x:c>
      <x:c r="B324" t="n">
        <x:v>3</x:v>
      </x:c>
      <x:c r="C324" t="n">
        <x:v>235</x:v>
      </x:c>
      <x:c r="D324" t="n">
        <x:v>235</x:v>
      </x:c>
      <x:c r="E324" s="22" t="n">
        <x:v>274.71</x:v>
      </x:c>
      <x:c r="F324" t="n">
        <x:v>2</x:v>
      </x:c>
      <x:c r="G324" t="n">
        <x:v>2</x:v>
      </x:c>
      <x:c r="H324" s="20" t="n">
        <x:f>IFERROR(F324/B324,0)</x:f>
        <x:v>0.6666666666666666</x:v>
      </x:c>
      <x:c r="I324" s="20" t="n">
        <x:f>IFERROR(G324/B324,0)</x:f>
        <x:v>0.6666666666666666</x:v>
      </x:c>
      <x:c r="J324" s="20" t="n">
        <x:f>IFERROR(D324/C324,0)</x:f>
        <x:v>1</x:v>
      </x:c>
      <x:c r="K324" t="str">
        <x:f>IF(B324&lt;Assumptions!$B$8,"Insufficient",IF(I324&lt;Assumptions!$B$9,"High",IF(I324&lt;Assumptions!$B$10,"Medium","Low")))</x:f>
        <x:v>Insufficient</x:v>
      </x:c>
      <x:c r="L324" t="n">
        <x:v>0</x:v>
      </x:c>
    </x:row>
    <x:row r="325" ht="18" customHeight="1">
      <x:c r="A325" t="str">
        <x:v>Vinte</x:v>
      </x:c>
      <x:c r="B325" t="n">
        <x:v>7</x:v>
      </x:c>
      <x:c r="C325" t="n">
        <x:v>432</x:v>
      </x:c>
      <x:c r="D325" t="n">
        <x:v>429</x:v>
      </x:c>
      <x:c r="E325" s="22" t="n">
        <x:v>264.28</x:v>
      </x:c>
      <x:c r="F325" t="n">
        <x:v>6</x:v>
      </x:c>
      <x:c r="G325" t="n">
        <x:v>5</x:v>
      </x:c>
      <x:c r="H325" s="20" t="n">
        <x:f>IFERROR(F325/B325,0)</x:f>
        <x:v>0.8571428571428571</x:v>
      </x:c>
      <x:c r="I325" s="20" t="n">
        <x:f>IFERROR(G325/B325,0)</x:f>
        <x:v>0.7142857142857143</x:v>
      </x:c>
      <x:c r="J325" s="20" t="n">
        <x:f>IFERROR(D325/C325,0)</x:f>
        <x:v>0.9930555555555556</x:v>
      </x:c>
      <x:c r="K325" t="str">
        <x:f>IF(B325&lt;Assumptions!$B$8,"Insufficient",IF(I325&lt;Assumptions!$B$9,"High",IF(I325&lt;Assumptions!$B$10,"Medium","Low")))</x:f>
        <x:v>Medium</x:v>
      </x:c>
      <x:c r="L325" t="n">
        <x:v>0</x:v>
      </x:c>
    </x:row>
    <x:row r="326" ht="18" customHeight="1">
      <x:c r="A326" t="str">
        <x:v>Jamia</x:v>
      </x:c>
      <x:c r="B326" t="n">
        <x:v>2</x:v>
      </x:c>
      <x:c r="C326" t="n">
        <x:v>47</x:v>
      </x:c>
      <x:c r="D326" t="n">
        <x:v>26</x:v>
      </x:c>
      <x:c r="E326" s="22" t="n">
        <x:v>262.46</x:v>
      </x:c>
      <x:c r="F326" t="n">
        <x:v>1</x:v>
      </x:c>
      <x:c r="G326" t="n">
        <x:v>1</x:v>
      </x:c>
      <x:c r="H326" s="20" t="n">
        <x:f>IFERROR(F326/B326,0)</x:f>
        <x:v>0.5</x:v>
      </x:c>
      <x:c r="I326" s="20" t="n">
        <x:f>IFERROR(G326/B326,0)</x:f>
        <x:v>0.5</x:v>
      </x:c>
      <x:c r="J326" s="20" t="n">
        <x:f>IFERROR(D326/C326,0)</x:f>
        <x:v>0.5531914893617021</x:v>
      </x:c>
      <x:c r="K326" t="str">
        <x:f>IF(B326&lt;Assumptions!$B$8,"Insufficient",IF(I326&lt;Assumptions!$B$9,"High",IF(I326&lt;Assumptions!$B$10,"Medium","Low")))</x:f>
        <x:v>Insufficient</x:v>
      </x:c>
      <x:c r="L326" t="n">
        <x:v>1</x:v>
      </x:c>
    </x:row>
    <x:row r="327" ht="18" customHeight="1">
      <x:c r="A327" t="str">
        <x:v>Meezzy</x:v>
      </x:c>
      <x:c r="B327" t="n">
        <x:v>2</x:v>
      </x:c>
      <x:c r="C327" t="n">
        <x:v>66</x:v>
      </x:c>
      <x:c r="D327" t="n">
        <x:v>57</x:v>
      </x:c>
      <x:c r="E327" s="22" t="n">
        <x:v>252.84</x:v>
      </x:c>
      <x:c r="F327" t="n">
        <x:v>1</x:v>
      </x:c>
      <x:c r="G327" t="n">
        <x:v>1</x:v>
      </x:c>
      <x:c r="H327" s="20" t="n">
        <x:f>IFERROR(F327/B327,0)</x:f>
        <x:v>0.5</x:v>
      </x:c>
      <x:c r="I327" s="20" t="n">
        <x:f>IFERROR(G327/B327,0)</x:f>
        <x:v>0.5</x:v>
      </x:c>
      <x:c r="J327" s="20" t="n">
        <x:f>IFERROR(D327/C327,0)</x:f>
        <x:v>0.8636363636363636</x:v>
      </x:c>
      <x:c r="K327" t="str">
        <x:f>IF(B327&lt;Assumptions!$B$8,"Insufficient",IF(I327&lt;Assumptions!$B$9,"High",IF(I327&lt;Assumptions!$B$10,"Medium","Low")))</x:f>
        <x:v>Insufficient</x:v>
      </x:c>
      <x:c r="L327" t="n">
        <x:v>0</x:v>
      </x:c>
    </x:row>
    <x:row r="328" ht="18" customHeight="1">
      <x:c r="A328" t="str">
        <x:v>Edgeclub</x:v>
      </x:c>
      <x:c r="B328" t="n">
        <x:v>2</x:v>
      </x:c>
      <x:c r="C328" t="n">
        <x:v>122</x:v>
      </x:c>
      <x:c r="D328" t="n">
        <x:v>122</x:v>
      </x:c>
      <x:c r="E328" s="22" t="n">
        <x:v>242.18</x:v>
      </x:c>
      <x:c r="F328" t="n">
        <x:v>2</x:v>
      </x:c>
      <x:c r="G328" t="n">
        <x:v>2</x:v>
      </x:c>
      <x:c r="H328" s="20" t="n">
        <x:f>IFERROR(F328/B328,0)</x:f>
        <x:v>1</x:v>
      </x:c>
      <x:c r="I328" s="20" t="n">
        <x:f>IFERROR(G328/B328,0)</x:f>
        <x:v>1</x:v>
      </x:c>
      <x:c r="J328" s="20" t="n">
        <x:f>IFERROR(D328/C328,0)</x:f>
        <x:v>1</x:v>
      </x:c>
      <x:c r="K328" t="str">
        <x:f>IF(B328&lt;Assumptions!$B$8,"Insufficient",IF(I328&lt;Assumptions!$B$9,"High",IF(I328&lt;Assumptions!$B$10,"Medium","Low")))</x:f>
        <x:v>Insufficient</x:v>
      </x:c>
      <x:c r="L328" t="n">
        <x:v>0</x:v>
      </x:c>
    </x:row>
    <x:row r="329" ht="18" customHeight="1">
      <x:c r="A329" t="str">
        <x:v>Leenti</x:v>
      </x:c>
      <x:c r="B329" t="n">
        <x:v>2</x:v>
      </x:c>
      <x:c r="C329" t="n">
        <x:v>87</x:v>
      </x:c>
      <x:c r="D329" t="n">
        <x:v>87</x:v>
      </x:c>
      <x:c r="E329" s="22" t="n">
        <x:v>231.36</x:v>
      </x:c>
      <x:c r="F329" t="n">
        <x:v>2</x:v>
      </x:c>
      <x:c r="G329" t="n">
        <x:v>2</x:v>
      </x:c>
      <x:c r="H329" s="20" t="n">
        <x:f>IFERROR(F329/B329,0)</x:f>
        <x:v>1</x:v>
      </x:c>
      <x:c r="I329" s="20" t="n">
        <x:f>IFERROR(G329/B329,0)</x:f>
        <x:v>1</x:v>
      </x:c>
      <x:c r="J329" s="20" t="n">
        <x:f>IFERROR(D329/C329,0)</x:f>
        <x:v>1</x:v>
      </x:c>
      <x:c r="K329" t="str">
        <x:f>IF(B329&lt;Assumptions!$B$8,"Insufficient",IF(I329&lt;Assumptions!$B$9,"High",IF(I329&lt;Assumptions!$B$10,"Medium","Low")))</x:f>
        <x:v>Insufficient</x:v>
      </x:c>
      <x:c r="L329" t="n">
        <x:v>0</x:v>
      </x:c>
    </x:row>
    <x:row r="330" ht="18" customHeight="1">
      <x:c r="A330" t="str">
        <x:v>Pixoboo</x:v>
      </x:c>
      <x:c r="B330" t="n">
        <x:v>2</x:v>
      </x:c>
      <x:c r="C330" t="n">
        <x:v>81</x:v>
      </x:c>
      <x:c r="D330" t="n">
        <x:v>31</x:v>
      </x:c>
      <x:c r="E330" s="22" t="n">
        <x:v>212.1</x:v>
      </x:c>
      <x:c r="F330" t="n">
        <x:v>1</x:v>
      </x:c>
      <x:c r="G330" t="n">
        <x:v>0</x:v>
      </x:c>
      <x:c r="H330" s="20" t="n">
        <x:f>IFERROR(F330/B330,0)</x:f>
        <x:v>0.5</x:v>
      </x:c>
      <x:c r="I330" s="20" t="n">
        <x:f>IFERROR(G330/B330,0)</x:f>
        <x:v>0</x:v>
      </x:c>
      <x:c r="J330" s="20" t="n">
        <x:f>IFERROR(D330/C330,0)</x:f>
        <x:v>0.38271604938271603</x:v>
      </x:c>
      <x:c r="K330" t="str">
        <x:f>IF(B330&lt;Assumptions!$B$8,"Insufficient",IF(I330&lt;Assumptions!$B$9,"High",IF(I330&lt;Assumptions!$B$10,"Medium","Low")))</x:f>
        <x:v>Insufficient</x:v>
      </x:c>
      <x:c r="L330" t="n">
        <x:v>1</x:v>
      </x:c>
    </x:row>
    <x:row r="331" ht="18" customHeight="1">
      <x:c r="A331" t="str">
        <x:v>Thoughtbridge</x:v>
      </x:c>
      <x:c r="B331" t="n">
        <x:v>2</x:v>
      </x:c>
      <x:c r="C331" t="n">
        <x:v>269</x:v>
      </x:c>
      <x:c r="D331" t="n">
        <x:v>269</x:v>
      </x:c>
      <x:c r="E331" s="22" t="n">
        <x:v>209.05</x:v>
      </x:c>
      <x:c r="F331" t="n">
        <x:v>2</x:v>
      </x:c>
      <x:c r="G331" t="n">
        <x:v>2</x:v>
      </x:c>
      <x:c r="H331" s="20" t="n">
        <x:f>IFERROR(F331/B331,0)</x:f>
        <x:v>1</x:v>
      </x:c>
      <x:c r="I331" s="20" t="n">
        <x:f>IFERROR(G331/B331,0)</x:f>
        <x:v>1</x:v>
      </x:c>
      <x:c r="J331" s="20" t="n">
        <x:f>IFERROR(D331/C331,0)</x:f>
        <x:v>1</x:v>
      </x:c>
      <x:c r="K331" t="str">
        <x:f>IF(B331&lt;Assumptions!$B$8,"Insufficient",IF(I331&lt;Assumptions!$B$9,"High",IF(I331&lt;Assumptions!$B$10,"Medium","Low")))</x:f>
        <x:v>Insufficient</x:v>
      </x:c>
      <x:c r="L331" t="n">
        <x:v>0</x:v>
      </x:c>
    </x:row>
    <x:row r="332" ht="18" customHeight="1">
      <x:c r="A332" t="str">
        <x:v>Flashdog</x:v>
      </x:c>
      <x:c r="B332" t="n">
        <x:v>4</x:v>
      </x:c>
      <x:c r="C332" t="n">
        <x:v>96</x:v>
      </x:c>
      <x:c r="D332" t="n">
        <x:v>68</x:v>
      </x:c>
      <x:c r="E332" s="22" t="n">
        <x:v>208.09</x:v>
      </x:c>
      <x:c r="F332" t="n">
        <x:v>2</x:v>
      </x:c>
      <x:c r="G332" t="n">
        <x:v>2</x:v>
      </x:c>
      <x:c r="H332" s="20" t="n">
        <x:f>IFERROR(F332/B332,0)</x:f>
        <x:v>0.5</x:v>
      </x:c>
      <x:c r="I332" s="20" t="n">
        <x:f>IFERROR(G332/B332,0)</x:f>
        <x:v>0.5</x:v>
      </x:c>
      <x:c r="J332" s="20" t="n">
        <x:f>IFERROR(D332/C332,0)</x:f>
        <x:v>0.7083333333333334</x:v>
      </x:c>
      <x:c r="K332" t="str">
        <x:f>IF(B332&lt;Assumptions!$B$8,"Insufficient",IF(I332&lt;Assumptions!$B$9,"High",IF(I332&lt;Assumptions!$B$10,"Medium","Low")))</x:f>
        <x:v>Insufficient</x:v>
      </x:c>
      <x:c r="L332" t="n">
        <x:v>1</x:v>
      </x:c>
    </x:row>
    <x:row r="333" ht="18" customHeight="1">
      <x:c r="A333" t="str">
        <x:v>Eamia</x:v>
      </x:c>
      <x:c r="B333" t="n">
        <x:v>3</x:v>
      </x:c>
      <x:c r="C333" t="n">
        <x:v>49</x:v>
      </x:c>
      <x:c r="D333" t="n">
        <x:v>49</x:v>
      </x:c>
      <x:c r="E333" s="22" t="n">
        <x:v>194.66</x:v>
      </x:c>
      <x:c r="F333" t="n">
        <x:v>2</x:v>
      </x:c>
      <x:c r="G333" t="n">
        <x:v>2</x:v>
      </x:c>
      <x:c r="H333" s="20" t="n">
        <x:f>IFERROR(F333/B333,0)</x:f>
        <x:v>0.6666666666666666</x:v>
      </x:c>
      <x:c r="I333" s="20" t="n">
        <x:f>IFERROR(G333/B333,0)</x:f>
        <x:v>0.6666666666666666</x:v>
      </x:c>
      <x:c r="J333" s="20" t="n">
        <x:f>IFERROR(D333/C333,0)</x:f>
        <x:v>1</x:v>
      </x:c>
      <x:c r="K333" t="str">
        <x:f>IF(B333&lt;Assumptions!$B$8,"Insufficient",IF(I333&lt;Assumptions!$B$9,"High",IF(I333&lt;Assumptions!$B$10,"Medium","Low")))</x:f>
        <x:v>Insufficient</x:v>
      </x:c>
      <x:c r="L333" t="n">
        <x:v>0</x:v>
      </x:c>
    </x:row>
    <x:row r="334" ht="18" customHeight="1">
      <x:c r="A334" t="str">
        <x:v>Fatz</x:v>
      </x:c>
      <x:c r="B334" t="n">
        <x:v>2</x:v>
      </x:c>
      <x:c r="C334" t="n">
        <x:v>59</x:v>
      </x:c>
      <x:c r="D334" t="n">
        <x:v>45</x:v>
      </x:c>
      <x:c r="E334" s="22" t="n">
        <x:v>193.7</x:v>
      </x:c>
      <x:c r="F334" t="n">
        <x:v>2</x:v>
      </x:c>
      <x:c r="G334" t="n">
        <x:v>1</x:v>
      </x:c>
      <x:c r="H334" s="20" t="n">
        <x:f>IFERROR(F334/B334,0)</x:f>
        <x:v>1</x:v>
      </x:c>
      <x:c r="I334" s="20" t="n">
        <x:f>IFERROR(G334/B334,0)</x:f>
        <x:v>0.5</x:v>
      </x:c>
      <x:c r="J334" s="20" t="n">
        <x:f>IFERROR(D334/C334,0)</x:f>
        <x:v>0.7627118644067796</x:v>
      </x:c>
      <x:c r="K334" t="str">
        <x:f>IF(B334&lt;Assumptions!$B$8,"Insufficient",IF(I334&lt;Assumptions!$B$9,"High",IF(I334&lt;Assumptions!$B$10,"Medium","Low")))</x:f>
        <x:v>Insufficient</x:v>
      </x:c>
      <x:c r="L334" t="n">
        <x:v>0</x:v>
      </x:c>
    </x:row>
    <x:row r="335" ht="18" customHeight="1">
      <x:c r="A335" t="str">
        <x:v>Roomm</x:v>
      </x:c>
      <x:c r="B335" t="n">
        <x:v>8</x:v>
      </x:c>
      <x:c r="C335" t="n">
        <x:v>155</x:v>
      </x:c>
      <x:c r="D335" t="n">
        <x:v>155</x:v>
      </x:c>
      <x:c r="E335" s="22" t="n">
        <x:v>185.51</x:v>
      </x:c>
      <x:c r="F335" t="n">
        <x:v>7</x:v>
      </x:c>
      <x:c r="G335" t="n">
        <x:v>7</x:v>
      </x:c>
      <x:c r="H335" s="20" t="n">
        <x:f>IFERROR(F335/B335,0)</x:f>
        <x:v>0.875</x:v>
      </x:c>
      <x:c r="I335" s="20" t="n">
        <x:f>IFERROR(G335/B335,0)</x:f>
        <x:v>0.875</x:v>
      </x:c>
      <x:c r="J335" s="20" t="n">
        <x:f>IFERROR(D335/C335,0)</x:f>
        <x:v>1</x:v>
      </x:c>
      <x:c r="K335" t="str">
        <x:f>IF(B335&lt;Assumptions!$B$8,"Insufficient",IF(I335&lt;Assumptions!$B$9,"High",IF(I335&lt;Assumptions!$B$10,"Medium","Low")))</x:f>
        <x:v>Low</x:v>
      </x:c>
      <x:c r="L335" t="n">
        <x:v>0</x:v>
      </x:c>
    </x:row>
    <x:row r="336" ht="18" customHeight="1">
      <x:c r="A336" t="str">
        <x:v>Mycat</x:v>
      </x:c>
      <x:c r="B336" t="n">
        <x:v>4</x:v>
      </x:c>
      <x:c r="C336" t="n">
        <x:v>14</x:v>
      </x:c>
      <x:c r="D336" t="n">
        <x:v>12</x:v>
      </x:c>
      <x:c r="E336" s="22" t="n">
        <x:v>168.61</x:v>
      </x:c>
      <x:c r="F336" t="n">
        <x:v>4</x:v>
      </x:c>
      <x:c r="G336" t="n">
        <x:v>3</x:v>
      </x:c>
      <x:c r="H336" s="20" t="n">
        <x:f>IFERROR(F336/B336,0)</x:f>
        <x:v>1</x:v>
      </x:c>
      <x:c r="I336" s="20" t="n">
        <x:f>IFERROR(G336/B336,0)</x:f>
        <x:v>0.75</x:v>
      </x:c>
      <x:c r="J336" s="20" t="n">
        <x:f>IFERROR(D336/C336,0)</x:f>
        <x:v>0.8571428571428571</x:v>
      </x:c>
      <x:c r="K336" t="str">
        <x:f>IF(B336&lt;Assumptions!$B$8,"Insufficient",IF(I336&lt;Assumptions!$B$9,"High",IF(I336&lt;Assumptions!$B$10,"Medium","Low")))</x:f>
        <x:v>Insufficient</x:v>
      </x:c>
      <x:c r="L336" t="n">
        <x:v>0</x:v>
      </x:c>
    </x:row>
    <x:row r="337" ht="18" customHeight="1">
      <x:c r="A337" t="str">
        <x:v>Babbleset</x:v>
      </x:c>
      <x:c r="B337" t="n">
        <x:v>2</x:v>
      </x:c>
      <x:c r="C337" t="n">
        <x:v>41</x:v>
      </x:c>
      <x:c r="D337" t="n">
        <x:v>41</x:v>
      </x:c>
      <x:c r="E337" s="22" t="n">
        <x:v>151.57</x:v>
      </x:c>
      <x:c r="F337" t="n">
        <x:v>2</x:v>
      </x:c>
      <x:c r="G337" t="n">
        <x:v>2</x:v>
      </x:c>
      <x:c r="H337" s="20" t="n">
        <x:f>IFERROR(F337/B337,0)</x:f>
        <x:v>1</x:v>
      </x:c>
      <x:c r="I337" s="20" t="n">
        <x:f>IFERROR(G337/B337,0)</x:f>
        <x:v>1</x:v>
      </x:c>
      <x:c r="J337" s="20" t="n">
        <x:f>IFERROR(D337/C337,0)</x:f>
        <x:v>1</x:v>
      </x:c>
      <x:c r="K337" t="str">
        <x:f>IF(B337&lt;Assumptions!$B$8,"Insufficient",IF(I337&lt;Assumptions!$B$9,"High",IF(I337&lt;Assumptions!$B$10,"Medium","Low")))</x:f>
        <x:v>Insufficient</x:v>
      </x:c>
      <x:c r="L337" t="n">
        <x:v>0</x:v>
      </x:c>
    </x:row>
    <x:row r="338" ht="18" customHeight="1">
      <x:c r="A338" t="str">
        <x:v>Brainsphere</x:v>
      </x:c>
      <x:c r="B338" t="n">
        <x:v>2</x:v>
      </x:c>
      <x:c r="C338" t="n">
        <x:v>55</x:v>
      </x:c>
      <x:c r="D338" t="n">
        <x:v>16</x:v>
      </x:c>
      <x:c r="E338" s="22" t="n">
        <x:v>143.51</x:v>
      </x:c>
      <x:c r="F338" t="n">
        <x:v>0</x:v>
      </x:c>
      <x:c r="G338" t="n">
        <x:v>0</x:v>
      </x:c>
      <x:c r="H338" s="20" t="n">
        <x:f>IFERROR(F338/B338,0)</x:f>
        <x:v>0</x:v>
      </x:c>
      <x:c r="I338" s="20" t="n">
        <x:f>IFERROR(G338/B338,0)</x:f>
        <x:v>0</x:v>
      </x:c>
      <x:c r="J338" s="20" t="n">
        <x:f>IFERROR(D338/C338,0)</x:f>
        <x:v>0.2909090909090909</x:v>
      </x:c>
      <x:c r="K338" t="str">
        <x:f>IF(B338&lt;Assumptions!$B$8,"Insufficient",IF(I338&lt;Assumptions!$B$9,"High",IF(I338&lt;Assumptions!$B$10,"Medium","Low")))</x:f>
        <x:v>Insufficient</x:v>
      </x:c>
      <x:c r="L338" t="n">
        <x:v>1</x:v>
      </x:c>
    </x:row>
    <x:row r="339" ht="18" customHeight="1">
      <x:c r="A339" t="str">
        <x:v>Trilith</x:v>
      </x:c>
      <x:c r="B339" t="n">
        <x:v>4</x:v>
      </x:c>
      <x:c r="C339" t="n">
        <x:v>56</x:v>
      </x:c>
      <x:c r="D339" t="n">
        <x:v>56</x:v>
      </x:c>
      <x:c r="E339" s="22" t="n">
        <x:v>120.02</x:v>
      </x:c>
      <x:c r="F339" t="n">
        <x:v>3</x:v>
      </x:c>
      <x:c r="G339" t="n">
        <x:v>3</x:v>
      </x:c>
      <x:c r="H339" s="20" t="n">
        <x:f>IFERROR(F339/B339,0)</x:f>
        <x:v>0.75</x:v>
      </x:c>
      <x:c r="I339" s="20" t="n">
        <x:f>IFERROR(G339/B339,0)</x:f>
        <x:v>0.75</x:v>
      </x:c>
      <x:c r="J339" s="20" t="n">
        <x:f>IFERROR(D339/C339,0)</x:f>
        <x:v>1</x:v>
      </x:c>
      <x:c r="K339" t="str">
        <x:f>IF(B339&lt;Assumptions!$B$8,"Insufficient",IF(I339&lt;Assumptions!$B$9,"High",IF(I339&lt;Assumptions!$B$10,"Medium","Low")))</x:f>
        <x:v>Insufficient</x:v>
      </x:c>
      <x:c r="L339" t="n">
        <x:v>0</x:v>
      </x:c>
    </x:row>
    <x:row r="340" ht="18" customHeight="1">
      <x:c r="A340" t="str">
        <x:v>Myworks</x:v>
      </x:c>
      <x:c r="B340" t="n">
        <x:v>2</x:v>
      </x:c>
      <x:c r="C340" t="n">
        <x:v>5</x:v>
      </x:c>
      <x:c r="D340" t="n">
        <x:v>5</x:v>
      </x:c>
      <x:c r="E340" s="22" t="n">
        <x:v>112.71</x:v>
      </x:c>
      <x:c r="F340" t="n">
        <x:v>2</x:v>
      </x:c>
      <x:c r="G340" t="n">
        <x:v>2</x:v>
      </x:c>
      <x:c r="H340" s="20" t="n">
        <x:f>IFERROR(F340/B340,0)</x:f>
        <x:v>1</x:v>
      </x:c>
      <x:c r="I340" s="20" t="n">
        <x:f>IFERROR(G340/B340,0)</x:f>
        <x:v>1</x:v>
      </x:c>
      <x:c r="J340" s="20" t="n">
        <x:f>IFERROR(D340/C340,0)</x:f>
        <x:v>1</x:v>
      </x:c>
      <x:c r="K340" t="str">
        <x:f>IF(B340&lt;Assumptions!$B$8,"Insufficient",IF(I340&lt;Assumptions!$B$9,"High",IF(I340&lt;Assumptions!$B$10,"Medium","Low")))</x:f>
        <x:v>Insufficient</x:v>
      </x:c>
      <x:c r="L340" t="n">
        <x:v>0</x:v>
      </x:c>
    </x:row>
    <x:row r="341" ht="18" customHeight="1">
      <x:c r="A341" t="str">
        <x:v>Jaxbean</x:v>
      </x:c>
      <x:c r="B341" t="n">
        <x:v>4</x:v>
      </x:c>
      <x:c r="C341" t="n">
        <x:v>37</x:v>
      </x:c>
      <x:c r="D341" t="n">
        <x:v>37</x:v>
      </x:c>
      <x:c r="E341" s="22" t="n">
        <x:v>101.28</x:v>
      </x:c>
      <x:c r="F341" t="n">
        <x:v>3</x:v>
      </x:c>
      <x:c r="G341" t="n">
        <x:v>3</x:v>
      </x:c>
      <x:c r="H341" s="20" t="n">
        <x:f>IFERROR(F341/B341,0)</x:f>
        <x:v>0.75</x:v>
      </x:c>
      <x:c r="I341" s="20" t="n">
        <x:f>IFERROR(G341/B341,0)</x:f>
        <x:v>0.75</x:v>
      </x:c>
      <x:c r="J341" s="20" t="n">
        <x:f>IFERROR(D341/C341,0)</x:f>
        <x:v>1</x:v>
      </x:c>
      <x:c r="K341" t="str">
        <x:f>IF(B341&lt;Assumptions!$B$8,"Insufficient",IF(I341&lt;Assumptions!$B$9,"High",IF(I341&lt;Assumptions!$B$10,"Medium","Low")))</x:f>
        <x:v>Insufficient</x:v>
      </x:c>
      <x:c r="L341" t="n">
        <x:v>0</x:v>
      </x:c>
    </x:row>
    <x:row r="342" ht="18" customHeight="1">
      <x:c r="A342" t="str">
        <x:v>Blogtags</x:v>
      </x:c>
      <x:c r="B342" t="n">
        <x:v>3</x:v>
      </x:c>
      <x:c r="C342" t="n">
        <x:v>165</x:v>
      </x:c>
      <x:c r="D342" t="n">
        <x:v>122</x:v>
      </x:c>
      <x:c r="E342" s="22" t="n">
        <x:v>99.17</x:v>
      </x:c>
      <x:c r="F342" t="n">
        <x:v>2</x:v>
      </x:c>
      <x:c r="G342" t="n">
        <x:v>1</x:v>
      </x:c>
      <x:c r="H342" s="20" t="n">
        <x:f>IFERROR(F342/B342,0)</x:f>
        <x:v>0.6666666666666666</x:v>
      </x:c>
      <x:c r="I342" s="20" t="n">
        <x:f>IFERROR(G342/B342,0)</x:f>
        <x:v>0.3333333333333333</x:v>
      </x:c>
      <x:c r="J342" s="20" t="n">
        <x:f>IFERROR(D342/C342,0)</x:f>
        <x:v>0.7393939393939394</x:v>
      </x:c>
      <x:c r="K342" t="str">
        <x:f>IF(B342&lt;Assumptions!$B$8,"Insufficient",IF(I342&lt;Assumptions!$B$9,"High",IF(I342&lt;Assumptions!$B$10,"Medium","Low")))</x:f>
        <x:v>Insufficient</x:v>
      </x:c>
      <x:c r="L342" t="n">
        <x:v>1</x:v>
      </x:c>
    </x:row>
    <x:row r="343" ht="18" customHeight="1">
      <x:c r="A343" t="str">
        <x:v>Photolist</x:v>
      </x:c>
      <x:c r="B343" t="n">
        <x:v>3</x:v>
      </x:c>
      <x:c r="C343" t="n">
        <x:v>43</x:v>
      </x:c>
      <x:c r="D343" t="n">
        <x:v>43</x:v>
      </x:c>
      <x:c r="E343" s="22" t="n">
        <x:v>89.14</x:v>
      </x:c>
      <x:c r="F343" t="n">
        <x:v>3</x:v>
      </x:c>
      <x:c r="G343" t="n">
        <x:v>3</x:v>
      </x:c>
      <x:c r="H343" s="20" t="n">
        <x:f>IFERROR(F343/B343,0)</x:f>
        <x:v>1</x:v>
      </x:c>
      <x:c r="I343" s="20" t="n">
        <x:f>IFERROR(G343/B343,0)</x:f>
        <x:v>1</x:v>
      </x:c>
      <x:c r="J343" s="20" t="n">
        <x:f>IFERROR(D343/C343,0)</x:f>
        <x:v>1</x:v>
      </x:c>
      <x:c r="K343" t="str">
        <x:f>IF(B343&lt;Assumptions!$B$8,"Insufficient",IF(I343&lt;Assumptions!$B$9,"High",IF(I343&lt;Assumptions!$B$10,"Medium","Low")))</x:f>
        <x:v>Insufficient</x:v>
      </x:c>
      <x:c r="L343" t="n">
        <x:v>0</x:v>
      </x:c>
    </x:row>
    <x:row r="344" ht="18" customHeight="1">
      <x:c r="A344" t="str">
        <x:v>Muxo</x:v>
      </x:c>
      <x:c r="B344" t="n">
        <x:v>2</x:v>
      </x:c>
      <x:c r="C344" t="n">
        <x:v>46</x:v>
      </x:c>
      <x:c r="D344" t="n">
        <x:v>39</x:v>
      </x:c>
      <x:c r="E344" s="22" t="n">
        <x:v>82.2</x:v>
      </x:c>
      <x:c r="F344" t="n">
        <x:v>2</x:v>
      </x:c>
      <x:c r="G344" t="n">
        <x:v>1</x:v>
      </x:c>
      <x:c r="H344" s="20" t="n">
        <x:f>IFERROR(F344/B344,0)</x:f>
        <x:v>1</x:v>
      </x:c>
      <x:c r="I344" s="20" t="n">
        <x:f>IFERROR(G344/B344,0)</x:f>
        <x:v>0.5</x:v>
      </x:c>
      <x:c r="J344" s="20" t="n">
        <x:f>IFERROR(D344/C344,0)</x:f>
        <x:v>0.8478260869565217</x:v>
      </x:c>
      <x:c r="K344" t="str">
        <x:f>IF(B344&lt;Assumptions!$B$8,"Insufficient",IF(I344&lt;Assumptions!$B$9,"High",IF(I344&lt;Assumptions!$B$10,"Medium","Low")))</x:f>
        <x:v>Insufficient</x:v>
      </x:c>
      <x:c r="L344" t="n">
        <x:v>0</x:v>
      </x:c>
    </x:row>
    <x:row r="345" ht="18" customHeight="1">
      <x:c r="A345" t="str">
        <x:v>Trudoo</x:v>
      </x:c>
      <x:c r="B345" t="n">
        <x:v>3</x:v>
      </x:c>
      <x:c r="C345" t="n">
        <x:v>10</x:v>
      </x:c>
      <x:c r="D345" t="n">
        <x:v>8</x:v>
      </x:c>
      <x:c r="E345" s="22" t="n">
        <x:v>60.84</x:v>
      </x:c>
      <x:c r="F345" t="n">
        <x:v>3</x:v>
      </x:c>
      <x:c r="G345" t="n">
        <x:v>2</x:v>
      </x:c>
      <x:c r="H345" s="20" t="n">
        <x:f>IFERROR(F345/B345,0)</x:f>
        <x:v>1</x:v>
      </x:c>
      <x:c r="I345" s="20" t="n">
        <x:f>IFERROR(G345/B345,0)</x:f>
        <x:v>0.6666666666666666</x:v>
      </x:c>
      <x:c r="J345" s="20" t="n">
        <x:f>IFERROR(D345/C345,0)</x:f>
        <x:v>0.8</x:v>
      </x:c>
      <x:c r="K345" t="str">
        <x:f>IF(B345&lt;Assumptions!$B$8,"Insufficient",IF(I345&lt;Assumptions!$B$9,"High",IF(I345&lt;Assumptions!$B$10,"Medium","Low")))</x:f>
        <x:v>Insufficient</x:v>
      </x:c>
      <x:c r="L345" t="n">
        <x:v>0</x:v>
      </x:c>
    </x:row>
    <x:row r="346" ht="18" customHeight="1">
      <x:c r="A346" t="str">
        <x:v>Zoonoodle</x:v>
      </x:c>
      <x:c r="B346" t="n">
        <x:v>2</x:v>
      </x:c>
      <x:c r="C346" t="n">
        <x:v>86</x:v>
      </x:c>
      <x:c r="D346" t="n">
        <x:v>86</x:v>
      </x:c>
      <x:c r="E346" s="22" t="n">
        <x:v>56.42</x:v>
      </x:c>
      <x:c r="F346" t="n">
        <x:v>2</x:v>
      </x:c>
      <x:c r="G346" t="n">
        <x:v>2</x:v>
      </x:c>
      <x:c r="H346" s="20" t="n">
        <x:f>IFERROR(F346/B346,0)</x:f>
        <x:v>1</x:v>
      </x:c>
      <x:c r="I346" s="20" t="n">
        <x:f>IFERROR(G346/B346,0)</x:f>
        <x:v>1</x:v>
      </x:c>
      <x:c r="J346" s="20" t="n">
        <x:f>IFERROR(D346/C346,0)</x:f>
        <x:v>1</x:v>
      </x:c>
      <x:c r="K346" t="str">
        <x:f>IF(B346&lt;Assumptions!$B$8,"Insufficient",IF(I346&lt;Assumptions!$B$9,"High",IF(I346&lt;Assumptions!$B$10,"Medium","Low")))</x:f>
        <x:v>Insufficient</x:v>
      </x:c>
      <x:c r="L346" t="n">
        <x:v>0</x:v>
      </x:c>
    </x:row>
    <x:row r="347" ht="18" customHeight="1">
      <x:c r="A347" t="str">
        <x:v>Realfire</x:v>
      </x:c>
      <x:c r="B347" t="n">
        <x:v>3</x:v>
      </x:c>
      <x:c r="C347" t="n">
        <x:v>331</x:v>
      </x:c>
      <x:c r="D347" t="n">
        <x:v>331</x:v>
      </x:c>
      <x:c r="E347" s="22" t="n">
        <x:v>50.94</x:v>
      </x:c>
      <x:c r="F347" t="n">
        <x:v>3</x:v>
      </x:c>
      <x:c r="G347" t="n">
        <x:v>3</x:v>
      </x:c>
      <x:c r="H347" s="20" t="n">
        <x:f>IFERROR(F347/B347,0)</x:f>
        <x:v>1</x:v>
      </x:c>
      <x:c r="I347" s="20" t="n">
        <x:f>IFERROR(G347/B347,0)</x:f>
        <x:v>1</x:v>
      </x:c>
      <x:c r="J347" s="20" t="n">
        <x:f>IFERROR(D347/C347,0)</x:f>
        <x:v>1</x:v>
      </x:c>
      <x:c r="K347" t="str">
        <x:f>IF(B347&lt;Assumptions!$B$8,"Insufficient",IF(I347&lt;Assumptions!$B$9,"High",IF(I347&lt;Assumptions!$B$10,"Medium","Low")))</x:f>
        <x:v>Insufficient</x:v>
      </x:c>
      <x:c r="L347" t="n">
        <x:v>0</x:v>
      </x:c>
    </x:row>
    <x:row r="348" ht="18" customHeight="1">
      <x:c r="A348" t="str">
        <x:v>Cogidoo</x:v>
      </x:c>
      <x:c r="B348" t="n">
        <x:v>2</x:v>
      </x:c>
      <x:c r="C348" t="n">
        <x:v>14</x:v>
      </x:c>
      <x:c r="D348" t="n">
        <x:v>14</x:v>
      </x:c>
      <x:c r="E348" s="22" t="n">
        <x:v>44.36</x:v>
      </x:c>
      <x:c r="F348" t="n">
        <x:v>2</x:v>
      </x:c>
      <x:c r="G348" t="n">
        <x:v>2</x:v>
      </x:c>
      <x:c r="H348" s="20" t="n">
        <x:f>IFERROR(F348/B348,0)</x:f>
        <x:v>1</x:v>
      </x:c>
      <x:c r="I348" s="20" t="n">
        <x:f>IFERROR(G348/B348,0)</x:f>
        <x:v>1</x:v>
      </x:c>
      <x:c r="J348" s="20" t="n">
        <x:f>IFERROR(D348/C348,0)</x:f>
        <x:v>1</x:v>
      </x:c>
      <x:c r="K348" t="str">
        <x:f>IF(B348&lt;Assumptions!$B$8,"Insufficient",IF(I348&lt;Assumptions!$B$9,"High",IF(I348&lt;Assumptions!$B$10,"Medium","Low")))</x:f>
        <x:v>Insufficient</x:v>
      </x:c>
      <x:c r="L348" t="n">
        <x:v>0</x:v>
      </x:c>
    </x:row>
    <x:row r="349" ht="18" customHeight="1">
      <x:c r="A349" t="str">
        <x:v>Dabfeed</x:v>
      </x:c>
      <x:c r="B349" t="n">
        <x:v>2</x:v>
      </x:c>
      <x:c r="C349" t="n">
        <x:v>7</x:v>
      </x:c>
      <x:c r="D349" t="n">
        <x:v>7</x:v>
      </x:c>
      <x:c r="E349" s="22" t="n">
        <x:v>39.76</x:v>
      </x:c>
      <x:c r="F349" t="n">
        <x:v>0</x:v>
      </x:c>
      <x:c r="G349" t="n">
        <x:v>0</x:v>
      </x:c>
      <x:c r="H349" s="20" t="n">
        <x:f>IFERROR(F349/B349,0)</x:f>
        <x:v>0</x:v>
      </x:c>
      <x:c r="I349" s="20" t="n">
        <x:f>IFERROR(G349/B349,0)</x:f>
        <x:v>0</x:v>
      </x:c>
      <x:c r="J349" s="20" t="n">
        <x:f>IFERROR(D349/C349,0)</x:f>
        <x:v>1</x:v>
      </x:c>
      <x:c r="K349" t="str">
        <x:f>IF(B349&lt;Assumptions!$B$8,"Insufficient",IF(I349&lt;Assumptions!$B$9,"High",IF(I349&lt;Assumptions!$B$10,"Medium","Low")))</x:f>
        <x:v>Insufficient</x:v>
      </x:c>
      <x:c r="L349" t="n">
        <x:v>0</x:v>
      </x:c>
    </x:row>
    <x:row r="350" ht="18" customHeight="1">
      <x:c r="A350" t="str">
        <x:v>Skyvu</x:v>
      </x:c>
      <x:c r="B350" t="n">
        <x:v>2</x:v>
      </x:c>
      <x:c r="C350" t="n">
        <x:v>15</x:v>
      </x:c>
      <x:c r="D350" t="n">
        <x:v>15</x:v>
      </x:c>
      <x:c r="E350" s="22" t="n">
        <x:v>38.29</x:v>
      </x:c>
      <x:c r="F350" t="n">
        <x:v>1</x:v>
      </x:c>
      <x:c r="G350" t="n">
        <x:v>1</x:v>
      </x:c>
      <x:c r="H350" s="20" t="n">
        <x:f>IFERROR(F350/B350,0)</x:f>
        <x:v>0.5</x:v>
      </x:c>
      <x:c r="I350" s="20" t="n">
        <x:f>IFERROR(G350/B350,0)</x:f>
        <x:v>0.5</x:v>
      </x:c>
      <x:c r="J350" s="20" t="n">
        <x:f>IFERROR(D350/C350,0)</x:f>
        <x:v>1</x:v>
      </x:c>
      <x:c r="K350" t="str">
        <x:f>IF(B350&lt;Assumptions!$B$8,"Insufficient",IF(I350&lt;Assumptions!$B$9,"High",IF(I350&lt;Assumptions!$B$10,"Medium","Low")))</x:f>
        <x:v>Insufficient</x:v>
      </x:c>
      <x:c r="L350" t="n">
        <x:v>0</x:v>
      </x:c>
    </x:row>
    <x:row r="351" ht="18" customHeight="1">
      <x:c r="A351" t="str">
        <x:v>Edgepulse</x:v>
      </x:c>
      <x:c r="B351" t="n">
        <x:v>2</x:v>
      </x:c>
      <x:c r="C351" t="n">
        <x:v>12</x:v>
      </x:c>
      <x:c r="D351" t="n">
        <x:v>11</x:v>
      </x:c>
      <x:c r="E351" s="22" t="n">
        <x:v>29.44</x:v>
      </x:c>
      <x:c r="F351" t="n">
        <x:v>1</x:v>
      </x:c>
      <x:c r="G351" t="n">
        <x:v>1</x:v>
      </x:c>
      <x:c r="H351" s="20" t="n">
        <x:f>IFERROR(F351/B351,0)</x:f>
        <x:v>0.5</x:v>
      </x:c>
      <x:c r="I351" s="20" t="n">
        <x:f>IFERROR(G351/B351,0)</x:f>
        <x:v>0.5</x:v>
      </x:c>
      <x:c r="J351" s="20" t="n">
        <x:f>IFERROR(D351/C351,0)</x:f>
        <x:v>0.9166666666666666</x:v>
      </x:c>
      <x:c r="K351" t="str">
        <x:f>IF(B351&lt;Assumptions!$B$8,"Insufficient",IF(I351&lt;Assumptions!$B$9,"High",IF(I351&lt;Assumptions!$B$10,"Medium","Low")))</x:f>
        <x:v>Insufficient</x:v>
      </x:c>
      <x:c r="L351" t="n">
        <x:v>0</x:v>
      </x:c>
    </x:row>
    <x:row r="352" ht="18" customHeight="1">
      <x:c r="A352" t="str">
        <x:v>Yodel</x:v>
      </x:c>
      <x:c r="B352" t="n">
        <x:v>2</x:v>
      </x:c>
      <x:c r="C352" t="n">
        <x:v>7</x:v>
      </x:c>
      <x:c r="D352" t="n">
        <x:v>4</x:v>
      </x:c>
      <x:c r="E352" s="22" t="n">
        <x:v>17.32</x:v>
      </x:c>
      <x:c r="F352" t="n">
        <x:v>0</x:v>
      </x:c>
      <x:c r="G352" t="n">
        <x:v>0</x:v>
      </x:c>
      <x:c r="H352" s="20" t="n">
        <x:f>IFERROR(F352/B352,0)</x:f>
        <x:v>0</x:v>
      </x:c>
      <x:c r="I352" s="20" t="n">
        <x:f>IFERROR(G352/B352,0)</x:f>
        <x:v>0</x:v>
      </x:c>
      <x:c r="J352" s="20" t="n">
        <x:f>IFERROR(D352/C352,0)</x:f>
        <x:v>0.5714285714285714</x:v>
      </x:c>
      <x:c r="K352" t="str">
        <x:f>IF(B352&lt;Assumptions!$B$8,"Insufficient",IF(I352&lt;Assumptions!$B$9,"High",IF(I352&lt;Assumptions!$B$10,"Medium","Low")))</x:f>
        <x:v>Insufficient</x:v>
      </x:c>
      <x:c r="L352" t="n">
        <x:v>0</x:v>
      </x:c>
    </x:row>
    <x:row r="353" ht="18" customHeight="1">
      <x:c r="A353" t="str">
        <x:v>Kaymbo</x:v>
      </x:c>
      <x:c r="B353" t="n">
        <x:v>3</x:v>
      </x:c>
      <x:c r="C353" t="n">
        <x:v>99</x:v>
      </x:c>
      <x:c r="D353" t="n">
        <x:v>79</x:v>
      </x:c>
      <x:c r="E353" s="22" t="n">
        <x:v>13.86</x:v>
      </x:c>
      <x:c r="F353" t="n">
        <x:v>1</x:v>
      </x:c>
      <x:c r="G353" t="n">
        <x:v>1</x:v>
      </x:c>
      <x:c r="H353" s="20" t="n">
        <x:f>IFERROR(F353/B353,0)</x:f>
        <x:v>0.3333333333333333</x:v>
      </x:c>
      <x:c r="I353" s="20" t="n">
        <x:f>IFERROR(G353/B353,0)</x:f>
        <x:v>0.3333333333333333</x:v>
      </x:c>
      <x:c r="J353" s="20" t="n">
        <x:f>IFERROR(D353/C353,0)</x:f>
        <x:v>0.797979797979798</x:v>
      </x:c>
      <x:c r="K353" t="str">
        <x:f>IF(B353&lt;Assumptions!$B$8,"Insufficient",IF(I353&lt;Assumptions!$B$9,"High",IF(I353&lt;Assumptions!$B$10,"Medium","Low")))</x:f>
        <x:v>Insufficient</x:v>
      </x:c>
      <x:c r="L353" t="n">
        <x:v>1</x:v>
      </x:c>
    </x:row>
    <x:row r="354" ht="18" customHeight="1">
      <x:c r="A354" t="str">
        <x:v>Fadeo</x:v>
      </x:c>
      <x:c r="B354" t="n">
        <x:v>3</x:v>
      </x:c>
      <x:c r="C354" t="n">
        <x:v>4</x:v>
      </x:c>
      <x:c r="D354" t="n">
        <x:v>3</x:v>
      </x:c>
      <x:c r="E354" s="22" t="n">
        <x:v>6.19</x:v>
      </x:c>
      <x:c r="F354" t="n">
        <x:v>2</x:v>
      </x:c>
      <x:c r="G354" t="n">
        <x:v>1</x:v>
      </x:c>
      <x:c r="H354" s="20" t="n">
        <x:f>IFERROR(F354/B354,0)</x:f>
        <x:v>0.6666666666666666</x:v>
      </x:c>
      <x:c r="I354" s="20" t="n">
        <x:f>IFERROR(G354/B354,0)</x:f>
        <x:v>0.3333333333333333</x:v>
      </x:c>
      <x:c r="J354" s="20" t="n">
        <x:f>IFERROR(D354/C354,0)</x:f>
        <x:v>0.75</x:v>
      </x:c>
      <x:c r="K354" t="str">
        <x:f>IF(B354&lt;Assumptions!$B$8,"Insufficient",IF(I354&lt;Assumptions!$B$9,"High",IF(I354&lt;Assumptions!$B$10,"Medium","Low")))</x:f>
        <x:v>Insufficient</x:v>
      </x:c>
      <x:c r="L354" t="n">
        <x:v>0</x:v>
      </x:c>
    </x:row>
  </x:sheetData>
  <x:mergeCells>
    <x:mergeCell ref="A1:L1"/>
    <x:mergeCell ref="A2:L2"/>
  </x:mergeCells>
  <x:conditionalFormatting sqref="I5:I354">
    <x:cfRule type="colorScale" priority="1">
      <x:colorScale>
        <x:cfvo type="min"/>
        <x:cfvo type="percentile" val="50"/>
        <x:cfvo type="max"/>
        <x:color rgb="FFF5C4C5"/>
        <x:color rgb="FFFDEAB2"/>
        <x:color rgb="FFC0E8D6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34" customHeight="1">
      <x:c r="A1" s="4" t="str">
        <x:v>MODELED PROCUREMENT TREND</x:v>
      </x:c>
      <x:c r="B1" s="4"/>
      <x:c r="C1" s="4"/>
      <x:c r="D1" s="4"/>
    </x:row>
    <x:row r="2" ht="26" customHeight="1">
      <x:c r="A2" s="9" t="str">
        <x:v>Demonstration purchase order value by month; NOT actual expenditure</x:v>
      </x:c>
      <x:c r="B2" s="9"/>
      <x:c r="C2" s="9"/>
      <x:c r="D2" s="9"/>
    </x:row>
    <x:row r="4" ht="28" customHeight="1">
      <x:c r="A4" s="27" t="str">
        <x:v>Order Month</x:v>
      </x:c>
      <x:c r="B4" s="27" t="str">
        <x:v>Modeled Order Value $</x:v>
      </x:c>
      <x:c r="C4" s="27" t="str">
        <x:v>PO Count</x:v>
      </x:c>
      <x:c r="D4" s="27" t="str">
        <x:v>OTIF Count</x:v>
      </x:c>
      <x:c r="E4" s="27" t="str">
        <x:v>OTIF %</x:v>
      </x:c>
    </x:row>
    <x:row r="5" ht="18" customHeight="1">
      <x:c r="A5" t="str">
        <x:v>2024-02</x:v>
      </x:c>
      <x:c r="B5" s="30" t="n">
        <x:v>9854.14</x:v>
      </x:c>
      <x:c r="C5" t="n">
        <x:v>34</x:v>
      </x:c>
      <x:c r="D5" t="n">
        <x:v>20</x:v>
      </x:c>
      <x:c r="E5" s="20" t="n">
        <x:f>IFERROR(D5/C5,0)</x:f>
        <x:v>0.5882352941176471</x:v>
      </x:c>
    </x:row>
    <x:row r="6" ht="18" customHeight="1">
      <x:c r="A6" t="str">
        <x:v>2024-03</x:v>
      </x:c>
      <x:c r="B6" s="30" t="n">
        <x:v>87241.45</x:v>
      </x:c>
      <x:c r="C6" t="n">
        <x:v>270</x:v>
      </x:c>
      <x:c r="D6" t="n">
        <x:v>170</x:v>
      </x:c>
      <x:c r="E6" s="20" t="n">
        <x:f>IFERROR(D6/C6,0)</x:f>
        <x:v>0.6296296296296297</x:v>
      </x:c>
    </x:row>
    <x:row r="7" ht="18" customHeight="1">
      <x:c r="A7" t="str">
        <x:v>2024-04</x:v>
      </x:c>
      <x:c r="B7" s="30" t="n">
        <x:v>80738.36</x:v>
      </x:c>
      <x:c r="C7" t="n">
        <x:v>251</x:v>
      </x:c>
      <x:c r="D7" t="n">
        <x:v>153</x:v>
      </x:c>
      <x:c r="E7" s="20" t="n">
        <x:f>IFERROR(D7/C7,0)</x:f>
        <x:v>0.6095617529880478</x:v>
      </x:c>
    </x:row>
    <x:row r="8" ht="18" customHeight="1">
      <x:c r="A8" t="str">
        <x:v>2024-05</x:v>
      </x:c>
      <x:c r="B8" s="30" t="n">
        <x:v>90107.53</x:v>
      </x:c>
      <x:c r="C8" t="n">
        <x:v>288</x:v>
      </x:c>
      <x:c r="D8" t="n">
        <x:v>173</x:v>
      </x:c>
      <x:c r="E8" s="20" t="n">
        <x:f>IFERROR(D8/C8,0)</x:f>
        <x:v>0.6006944444444444</x:v>
      </x:c>
    </x:row>
    <x:row r="9" ht="18" customHeight="1">
      <x:c r="A9" t="str">
        <x:v>2024-06</x:v>
      </x:c>
      <x:c r="B9" s="30" t="n">
        <x:v>76393.98000000001</x:v>
      </x:c>
      <x:c r="C9" t="n">
        <x:v>246</x:v>
      </x:c>
      <x:c r="D9" t="n">
        <x:v>145</x:v>
      </x:c>
      <x:c r="E9" s="20" t="n">
        <x:f>IFERROR(D9/C9,0)</x:f>
        <x:v>0.5894308943089431</x:v>
      </x:c>
    </x:row>
    <x:row r="10" ht="18" customHeight="1">
      <x:c r="A10" t="str">
        <x:v>2024-07</x:v>
      </x:c>
      <x:c r="B10" s="30" t="n">
        <x:v>73369.48</x:v>
      </x:c>
      <x:c r="C10" t="n">
        <x:v>273</x:v>
      </x:c>
      <x:c r="D10" t="n">
        <x:v>175</x:v>
      </x:c>
      <x:c r="E10" s="20" t="n">
        <x:f>IFERROR(D10/C10,0)</x:f>
        <x:v>0.6410256410256411</x:v>
      </x:c>
    </x:row>
    <x:row r="11" ht="18" customHeight="1">
      <x:c r="A11" t="str">
        <x:v>2024-08</x:v>
      </x:c>
      <x:c r="B11" s="30" t="n">
        <x:v>72875.29000000001</x:v>
      </x:c>
      <x:c r="C11" t="n">
        <x:v>251</x:v>
      </x:c>
      <x:c r="D11" t="n">
        <x:v>145</x:v>
      </x:c>
      <x:c r="E11" s="20" t="n">
        <x:f>IFERROR(D11/C11,0)</x:f>
        <x:v>0.5776892430278885</x:v>
      </x:c>
    </x:row>
    <x:row r="12" ht="18" customHeight="1">
      <x:c r="A12" t="str">
        <x:v>2024-09</x:v>
      </x:c>
      <x:c r="B12" s="30" t="n">
        <x:v>72986.2</x:v>
      </x:c>
      <x:c r="C12" t="n">
        <x:v>248</x:v>
      </x:c>
      <x:c r="D12" t="n">
        <x:v>144</x:v>
      </x:c>
      <x:c r="E12" s="20" t="n">
        <x:f>IFERROR(D12/C12,0)</x:f>
        <x:v>0.5806451612903226</x:v>
      </x:c>
    </x:row>
    <x:row r="13" ht="18" customHeight="1">
      <x:c r="A13" t="str">
        <x:v>2024-10</x:v>
      </x:c>
      <x:c r="B13" s="30" t="n">
        <x:v>67297.18000000001</x:v>
      </x:c>
      <x:c r="C13" t="n">
        <x:v>237</x:v>
      </x:c>
      <x:c r="D13" t="n">
        <x:v>147</x:v>
      </x:c>
      <x:c r="E13" s="20" t="n">
        <x:f>IFERROR(D13/C13,0)</x:f>
        <x:v>0.620253164556962</x:v>
      </x:c>
    </x:row>
    <x:row r="14" ht="18" customHeight="1">
      <x:c r="A14" t="str">
        <x:v>2024-11</x:v>
      </x:c>
      <x:c r="B14" s="30" t="n">
        <x:v>95472.95000000001</x:v>
      </x:c>
      <x:c r="C14" t="n">
        <x:v>241</x:v>
      </x:c>
      <x:c r="D14" t="n">
        <x:v>135</x:v>
      </x:c>
      <x:c r="E14" s="20" t="n">
        <x:f>IFERROR(D14/C14,0)</x:f>
        <x:v>0.5601659751037344</x:v>
      </x:c>
    </x:row>
    <x:row r="15" ht="18" customHeight="1">
      <x:c r="A15" t="str">
        <x:v>2024-12</x:v>
      </x:c>
      <x:c r="B15" s="30" t="n">
        <x:v>82950.36</x:v>
      </x:c>
      <x:c r="C15" t="n">
        <x:v>252</x:v>
      </x:c>
      <x:c r="D15" t="n">
        <x:v>146</x:v>
      </x:c>
      <x:c r="E15" s="20" t="n">
        <x:f>IFERROR(D15/C15,0)</x:f>
        <x:v>0.5793650793650794</x:v>
      </x:c>
    </x:row>
    <x:row r="16" ht="18" customHeight="1">
      <x:c r="A16" t="str">
        <x:v>2025-01</x:v>
      </x:c>
      <x:c r="B16" s="30" t="n">
        <x:v>64625.15</x:v>
      </x:c>
      <x:c r="C16" t="n">
        <x:v>237</x:v>
      </x:c>
      <x:c r="D16" t="n">
        <x:v>127</x:v>
      </x:c>
      <x:c r="E16" s="20" t="n">
        <x:f>IFERROR(D16/C16,0)</x:f>
        <x:v>0.5358649789029536</x:v>
      </x:c>
    </x:row>
    <x:row r="17" ht="18" customHeight="1">
      <x:c r="A17" t="str">
        <x:v>2025-02</x:v>
      </x:c>
      <x:c r="B17" s="30" t="n">
        <x:v>38984.35</x:v>
      </x:c>
      <x:c r="C17" t="n">
        <x:v>162</x:v>
      </x:c>
      <x:c r="D17" t="n">
        <x:v>99</x:v>
      </x:c>
      <x:c r="E17" s="20" t="n">
        <x:f>IFERROR(D17/C17,0)</x:f>
        <x:v>0.6111111111111112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4" hidden="0" customWidth="1"/>
    <x:col min="5" max="5" width="16" hidden="0" customWidth="1"/>
    <x:col min="6" max="6" width="14" hidden="0" customWidth="1"/>
    <x:col min="7" max="7" width="17" hidden="0" customWidth="1"/>
    <x:col min="8" max="8" width="24" hidden="0" customWidth="1"/>
    <x:col min="9" max="9" width="15" hidden="0" customWidth="1"/>
    <x:col min="10" max="10" width="18" hidden="0" customWidth="1"/>
  </x:cols>
  <x:sheetData>
    <x:row r="1" ht="34" customHeight="1">
      <x:c r="A1" s="4" t="str">
        <x:v>OBSERVED INVENTORY | REORDER REVIEW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9" t="str">
        <x:v>Source inventory and derived reorder rule; NOT modeled POs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8" customHeight="1">
      <x:c r="A4" s="27" t="str">
        <x:v>Product ID</x:v>
      </x:c>
      <x:c r="B4" s="27" t="str">
        <x:v>Product</x:v>
      </x:c>
      <x:c r="C4" s="27" t="str">
        <x:v>Supplier</x:v>
      </x:c>
      <x:c r="D4" s="27" t="str">
        <x:v>Category</x:v>
      </x:c>
      <x:c r="E4" s="27" t="str">
        <x:v>Status</x:v>
      </x:c>
      <x:c r="F4" s="27" t="str">
        <x:v>On Hand</x:v>
      </x:c>
      <x:c r="G4" s="27" t="str">
        <x:v>Reorder Level</x:v>
      </x:c>
      <x:c r="H4" s="27" t="str">
        <x:v>Stock Price Proxy $</x:v>
      </x:c>
      <x:c r="I4" s="27" t="str">
        <x:v>Reorder Qty</x:v>
      </x:c>
      <x:c r="J4" s="27" t="str">
        <x:v>Suggested Units</x:v>
      </x:c>
    </x:row>
    <x:row r="5" ht="18" customHeight="1">
      <x:c r="A5" t="str">
        <x:v>29-017-6255</x:v>
      </x:c>
      <x:c r="B5" t="str">
        <x:v>Bell Pepper</x:v>
      </x:c>
      <x:c r="C5" t="str">
        <x:v>Eimbee</x:v>
      </x:c>
      <x:c r="D5" t="str">
        <x:v>Fruits &amp; Vegetables</x:v>
      </x:c>
      <x:c r="E5" t="str">
        <x:v>Discontinued</x:v>
      </x:c>
      <x:c r="F5" t="n">
        <x:v>46</x:v>
      </x:c>
      <x:c r="G5" t="n">
        <x:v>64</x:v>
      </x:c>
      <x:c r="H5" s="22" t="n">
        <x:v>211.6</x:v>
      </x:c>
      <x:c r="I5" t="n">
        <x:v>17</x:v>
      </x:c>
      <x:c r="J5" t="n">
        <x:v>0</x:v>
      </x:c>
    </x:row>
    <x:row r="6" ht="18" customHeight="1">
      <x:c r="A6" t="str">
        <x:v>79-569-8856</x:v>
      </x:c>
      <x:c r="B6" t="str">
        <x:v>Vegetable Oil</x:v>
      </x:c>
      <x:c r="C6" t="str">
        <x:v>Digitube</x:v>
      </x:c>
      <x:c r="D6" t="str">
        <x:v>Oils &amp; Fats</x:v>
      </x:c>
      <x:c r="E6" t="str">
        <x:v>Backordered</x:v>
      </x:c>
      <x:c r="F6" t="n">
        <x:v>51</x:v>
      </x:c>
      <x:c r="G6" t="n">
        <x:v>87</x:v>
      </x:c>
      <x:c r="H6" s="22" t="n">
        <x:v>102</x:v>
      </x:c>
      <x:c r="I6" t="n">
        <x:v>86</x:v>
      </x:c>
      <x:c r="J6" t="n">
        <x:v>86</x:v>
      </x:c>
    </x:row>
    <x:row r="7" ht="18" customHeight="1">
      <x:c r="A7" t="str">
        <x:v>28-146-2641</x:v>
      </x:c>
      <x:c r="B7" t="str">
        <x:v>Parmesan Cheese</x:v>
      </x:c>
      <x:c r="C7" t="str">
        <x:v>BlogXS</x:v>
      </x:c>
      <x:c r="D7" t="str">
        <x:v>Dairy</x:v>
      </x:c>
      <x:c r="E7" t="str">
        <x:v>Discontinued</x:v>
      </x:c>
      <x:c r="F7" t="n">
        <x:v>38</x:v>
      </x:c>
      <x:c r="G7" t="n">
        <x:v>67</x:v>
      </x:c>
      <x:c r="H7" s="22" t="n">
        <x:v>456</x:v>
      </x:c>
      <x:c r="I7" t="n">
        <x:v>66</x:v>
      </x:c>
      <x:c r="J7" t="n">
        <x:v>0</x:v>
      </x:c>
    </x:row>
    <x:row r="8" ht="18" customHeight="1">
      <x:c r="A8" t="str">
        <x:v>11-581-9869</x:v>
      </x:c>
      <x:c r="B8" t="str">
        <x:v>Carrot</x:v>
      </x:c>
      <x:c r="C8" t="str">
        <x:v>Avaveo</x:v>
      </x:c>
      <x:c r="D8" t="str">
        <x:v>Fruits &amp; Vegetables</x:v>
      </x:c>
      <x:c r="E8" t="str">
        <x:v>Discontinued</x:v>
      </x:c>
      <x:c r="F8" t="n">
        <x:v>51</x:v>
      </x:c>
      <x:c r="G8" t="n">
        <x:v>60</x:v>
      </x:c>
      <x:c r="H8" s="22" t="n">
        <x:v>76.5</x:v>
      </x:c>
      <x:c r="I8" t="n">
        <x:v>98</x:v>
      </x:c>
      <x:c r="J8" t="n">
        <x:v>0</x:v>
      </x:c>
    </x:row>
    <x:row r="9" ht="18" customHeight="1">
      <x:c r="A9" t="str">
        <x:v>13-202-4809</x:v>
      </x:c>
      <x:c r="B9" t="str">
        <x:v>Garlic</x:v>
      </x:c>
      <x:c r="C9" t="str">
        <x:v>Katz</x:v>
      </x:c>
      <x:c r="D9" t="str">
        <x:v>Fruits &amp; Vegetables</x:v>
      </x:c>
      <x:c r="E9" t="str">
        <x:v>Discontinued</x:v>
      </x:c>
      <x:c r="F9" t="n">
        <x:v>27</x:v>
      </x:c>
      <x:c r="G9" t="n">
        <x:v>22</x:v>
      </x:c>
      <x:c r="H9" s="22" t="n">
        <x:v>189</x:v>
      </x:c>
      <x:c r="I9" t="n">
        <x:v>89</x:v>
      </x:c>
      <x:c r="J9" t="n">
        <x:v>0</x:v>
      </x:c>
    </x:row>
    <x:row r="10" ht="18" customHeight="1">
      <x:c r="A10" t="str">
        <x:v>70-145-2550</x:v>
      </x:c>
      <x:c r="B10" t="str">
        <x:v>Lemon</x:v>
      </x:c>
      <x:c r="C10" t="str">
        <x:v>Yata</x:v>
      </x:c>
      <x:c r="D10" t="str">
        <x:v>Fruits &amp; Vegetables</x:v>
      </x:c>
      <x:c r="E10" t="str">
        <x:v>Backordered</x:v>
      </x:c>
      <x:c r="F10" t="n">
        <x:v>91</x:v>
      </x:c>
      <x:c r="G10" t="n">
        <x:v>6</x:v>
      </x:c>
      <x:c r="H10" s="22" t="n">
        <x:v>218.4</x:v>
      </x:c>
      <x:c r="I10" t="n">
        <x:v>37</x:v>
      </x:c>
      <x:c r="J10" t="n">
        <x:v>0</x:v>
      </x:c>
    </x:row>
    <x:row r="11" ht="18" customHeight="1">
      <x:c r="A11" t="str">
        <x:v>10-626-8536</x:v>
      </x:c>
      <x:c r="B11" t="str">
        <x:v>Coconut Sugar</x:v>
      </x:c>
      <x:c r="C11" t="str">
        <x:v>Lazz</x:v>
      </x:c>
      <x:c r="D11" t="str">
        <x:v>Grains &amp; Pulses</x:v>
      </x:c>
      <x:c r="E11" t="str">
        <x:v>Active</x:v>
      </x:c>
      <x:c r="F11" t="n">
        <x:v>17</x:v>
      </x:c>
      <x:c r="G11" t="n">
        <x:v>85</x:v>
      </x:c>
      <x:c r="H11" s="22" t="n">
        <x:v>85</x:v>
      </x:c>
      <x:c r="I11" t="n">
        <x:v>74</x:v>
      </x:c>
      <x:c r="J11" t="n">
        <x:v>74</x:v>
      </x:c>
    </x:row>
    <x:row r="12" ht="18" customHeight="1">
      <x:c r="A12" t="str">
        <x:v>42-879-9478</x:v>
      </x:c>
      <x:c r="B12" t="str">
        <x:v>Anchovies</x:v>
      </x:c>
      <x:c r="C12" t="str">
        <x:v>Zoonder</x:v>
      </x:c>
      <x:c r="D12" t="str">
        <x:v>Seafood</x:v>
      </x:c>
      <x:c r="E12" t="str">
        <x:v>Discontinued</x:v>
      </x:c>
      <x:c r="F12" t="n">
        <x:v>81</x:v>
      </x:c>
      <x:c r="G12" t="n">
        <x:v>22</x:v>
      </x:c>
      <x:c r="H12" s="22" t="n">
        <x:v>810</x:v>
      </x:c>
      <x:c r="I12" t="n">
        <x:v>20</x:v>
      </x:c>
      <x:c r="J12" t="n">
        <x:v>0</x:v>
      </x:c>
    </x:row>
    <x:row r="13" ht="18" customHeight="1">
      <x:c r="A13" t="str">
        <x:v>82-380-5378</x:v>
      </x:c>
      <x:c r="B13" t="str">
        <x:v>Cheese</x:v>
      </x:c>
      <x:c r="C13" t="str">
        <x:v>Oozz</x:v>
      </x:c>
      <x:c r="D13" t="str">
        <x:v>Dairy</x:v>
      </x:c>
      <x:c r="E13" t="str">
        <x:v>Active</x:v>
      </x:c>
      <x:c r="F13" t="n">
        <x:v>78</x:v>
      </x:c>
      <x:c r="G13" t="n">
        <x:v>24</x:v>
      </x:c>
      <x:c r="H13" s="22" t="n">
        <x:v>702</x:v>
      </x:c>
      <x:c r="I13" t="n">
        <x:v>31</x:v>
      </x:c>
      <x:c r="J13" t="n">
        <x:v>0</x:v>
      </x:c>
    </x:row>
    <x:row r="14" ht="18" customHeight="1">
      <x:c r="A14" t="str">
        <x:v>23-265-8144</x:v>
      </x:c>
      <x:c r="B14" t="str">
        <x:v>Yogurt</x:v>
      </x:c>
      <x:c r="C14" t="str">
        <x:v>Jaxnation</x:v>
      </x:c>
      <x:c r="D14" t="str">
        <x:v>Dairy</x:v>
      </x:c>
      <x:c r="E14" t="str">
        <x:v>Backordered</x:v>
      </x:c>
      <x:c r="F14" t="n">
        <x:v>55</x:v>
      </x:c>
      <x:c r="G14" t="n">
        <x:v>50</x:v>
      </x:c>
      <x:c r="H14" s="22" t="n">
        <x:v>93.5</x:v>
      </x:c>
      <x:c r="I14" t="n">
        <x:v>56</x:v>
      </x:c>
      <x:c r="J14" t="n">
        <x:v>0</x:v>
      </x:c>
    </x:row>
    <x:row r="15" ht="18" customHeight="1">
      <x:c r="A15" t="str">
        <x:v>62-393-9939</x:v>
      </x:c>
      <x:c r="B15" t="str">
        <x:v>Cheddar Cheese</x:v>
      </x:c>
      <x:c r="C15" t="str">
        <x:v>Gabcube</x:v>
      </x:c>
      <x:c r="D15" t="str">
        <x:v>Dairy</x:v>
      </x:c>
      <x:c r="E15" t="str">
        <x:v>Active</x:v>
      </x:c>
      <x:c r="F15" t="n">
        <x:v>60</x:v>
      </x:c>
      <x:c r="G15" t="n">
        <x:v>9</x:v>
      </x:c>
      <x:c r="H15" s="22" t="n">
        <x:v>540</x:v>
      </x:c>
      <x:c r="I15" t="n">
        <x:v>89</x:v>
      </x:c>
      <x:c r="J15" t="n">
        <x:v>0</x:v>
      </x:c>
    </x:row>
    <x:row r="16" ht="18" customHeight="1">
      <x:c r="A16" t="str">
        <x:v>90-343-9640</x:v>
      </x:c>
      <x:c r="B16" t="str">
        <x:v>Avocado Oil</x:v>
      </x:c>
      <x:c r="C16" t="str">
        <x:v>Dabtype</x:v>
      </x:c>
      <x:c r="D16" t="str">
        <x:v>Oils &amp; Fats</x:v>
      </x:c>
      <x:c r="E16" t="str">
        <x:v>Backordered</x:v>
      </x:c>
      <x:c r="F16" t="n">
        <x:v>53</x:v>
      </x:c>
      <x:c r="G16" t="n">
        <x:v>89</x:v>
      </x:c>
      <x:c r="H16" s="22" t="n">
        <x:v>530</x:v>
      </x:c>
      <x:c r="I16" t="n">
        <x:v>100</x:v>
      </x:c>
      <x:c r="J16" t="n">
        <x:v>100</x:v>
      </x:c>
    </x:row>
    <x:row r="17" ht="18" customHeight="1">
      <x:c r="A17" t="str">
        <x:v>36-899-5324</x:v>
      </x:c>
      <x:c r="B17" t="str">
        <x:v>Orange</x:v>
      </x:c>
      <x:c r="C17" t="str">
        <x:v>Flashdog</x:v>
      </x:c>
      <x:c r="D17" t="str">
        <x:v>Fruits &amp; Vegetables</x:v>
      </x:c>
      <x:c r="E17" t="str">
        <x:v>Backordered</x:v>
      </x:c>
      <x:c r="F17" t="n">
        <x:v>94</x:v>
      </x:c>
      <x:c r="G17" t="n">
        <x:v>58</x:v>
      </x:c>
      <x:c r="H17" s="22" t="n">
        <x:v>272.6</x:v>
      </x:c>
      <x:c r="I17" t="n">
        <x:v>17</x:v>
      </x:c>
      <x:c r="J17" t="n">
        <x:v>0</x:v>
      </x:c>
    </x:row>
    <x:row r="18" ht="18" customHeight="1">
      <x:c r="A18" t="str">
        <x:v>41-538-3129</x:v>
      </x:c>
      <x:c r="B18" t="str">
        <x:v>Digestive Biscuit</x:v>
      </x:c>
      <x:c r="C18" t="str">
        <x:v>Devshare</x:v>
      </x:c>
      <x:c r="D18" t="str">
        <x:v>Bakery</x:v>
      </x:c>
      <x:c r="E18" t="str">
        <x:v>Backordered</x:v>
      </x:c>
      <x:c r="F18" t="n">
        <x:v>77</x:v>
      </x:c>
      <x:c r="G18" t="n">
        <x:v>79</x:v>
      </x:c>
      <x:c r="H18" s="22" t="n">
        <x:v>308</x:v>
      </x:c>
      <x:c r="I18" t="n">
        <x:v>65</x:v>
      </x:c>
      <x:c r="J18" t="n">
        <x:v>65</x:v>
      </x:c>
    </x:row>
    <x:row r="19" ht="18" customHeight="1">
      <x:c r="A19" t="str">
        <x:v>47-843-8207</x:v>
      </x:c>
      <x:c r="B19" t="str">
        <x:v>Cauliflower</x:v>
      </x:c>
      <x:c r="C19" t="str">
        <x:v>Cogilith</x:v>
      </x:c>
      <x:c r="D19" t="str">
        <x:v>Fruits &amp; Vegetables</x:v>
      </x:c>
      <x:c r="E19" t="str">
        <x:v>Active</x:v>
      </x:c>
      <x:c r="F19" t="n">
        <x:v>34</x:v>
      </x:c>
      <x:c r="G19" t="n">
        <x:v>92</x:v>
      </x:c>
      <x:c r="H19" s="22" t="n">
        <x:v>85</x:v>
      </x:c>
      <x:c r="I19" t="n">
        <x:v>26</x:v>
      </x:c>
      <x:c r="J19" t="n">
        <x:v>58</x:v>
      </x:c>
    </x:row>
    <x:row r="20" ht="18" customHeight="1">
      <x:c r="A20" t="str">
        <x:v>94-071-2261</x:v>
      </x:c>
      <x:c r="B20" t="str">
        <x:v>Pear</x:v>
      </x:c>
      <x:c r="C20" t="str">
        <x:v>Roodel</x:v>
      </x:c>
      <x:c r="D20" t="str">
        <x:v>Fruits &amp; Vegetables</x:v>
      </x:c>
      <x:c r="E20" t="str">
        <x:v>Discontinued</x:v>
      </x:c>
      <x:c r="F20" t="n">
        <x:v>79</x:v>
      </x:c>
      <x:c r="G20" t="n">
        <x:v>37</x:v>
      </x:c>
      <x:c r="H20" s="22" t="n">
        <x:v>355.5</x:v>
      </x:c>
      <x:c r="I20" t="n">
        <x:v>98</x:v>
      </x:c>
      <x:c r="J20" t="n">
        <x:v>0</x:v>
      </x:c>
    </x:row>
    <x:row r="21" ht="18" customHeight="1">
      <x:c r="A21" t="str">
        <x:v>12-998-3882</x:v>
      </x:c>
      <x:c r="B21" t="str">
        <x:v>Egg (Turkey)</x:v>
      </x:c>
      <x:c r="C21" t="str">
        <x:v>Bluezoom</x:v>
      </x:c>
      <x:c r="D21" t="str">
        <x:v>Dairy</x:v>
      </x:c>
      <x:c r="E21" t="str">
        <x:v>Backordered</x:v>
      </x:c>
      <x:c r="F21" t="n">
        <x:v>76</x:v>
      </x:c>
      <x:c r="G21" t="n">
        <x:v>54</x:v>
      </x:c>
      <x:c r="H21" s="22" t="n">
        <x:v>190</x:v>
      </x:c>
      <x:c r="I21" t="n">
        <x:v>76</x:v>
      </x:c>
      <x:c r="J21" t="n">
        <x:v>0</x:v>
      </x:c>
    </x:row>
    <x:row r="22" ht="18" customHeight="1">
      <x:c r="A22" t="str">
        <x:v>36-127-4273</x:v>
      </x:c>
      <x:c r="B22" t="str">
        <x:v>Ricotta Cheese</x:v>
      </x:c>
      <x:c r="C22" t="str">
        <x:v>Skimia</x:v>
      </x:c>
      <x:c r="D22" t="str">
        <x:v>Dairy</x:v>
      </x:c>
      <x:c r="E22" t="str">
        <x:v>Active</x:v>
      </x:c>
      <x:c r="F22" t="n">
        <x:v>50</x:v>
      </x:c>
      <x:c r="G22" t="n">
        <x:v>46</x:v>
      </x:c>
      <x:c r="H22" s="22" t="n">
        <x:v>310</x:v>
      </x:c>
      <x:c r="I22" t="n">
        <x:v>38</x:v>
      </x:c>
      <x:c r="J22" t="n">
        <x:v>0</x:v>
      </x:c>
    </x:row>
    <x:row r="23" ht="18" customHeight="1">
      <x:c r="A23" t="str">
        <x:v>13-144-2169</x:v>
      </x:c>
      <x:c r="B23" t="str">
        <x:v>Eggplant</x:v>
      </x:c>
      <x:c r="C23" t="str">
        <x:v>Blogpad</x:v>
      </x:c>
      <x:c r="D23" t="str">
        <x:v>Fruits &amp; Vegetables</x:v>
      </x:c>
      <x:c r="E23" t="str">
        <x:v>Backordered</x:v>
      </x:c>
      <x:c r="F23" t="n">
        <x:v>25</x:v>
      </x:c>
      <x:c r="G23" t="n">
        <x:v>62</x:v>
      </x:c>
      <x:c r="H23" s="22" t="n">
        <x:v>75</x:v>
      </x:c>
      <x:c r="I23" t="n">
        <x:v>11</x:v>
      </x:c>
      <x:c r="J23" t="n">
        <x:v>37</x:v>
      </x:c>
    </x:row>
    <x:row r="24" ht="18" customHeight="1">
      <x:c r="A24" t="str">
        <x:v>86-978-6666</x:v>
      </x:c>
      <x:c r="B24" t="str">
        <x:v>Whole Wheat Flour</x:v>
      </x:c>
      <x:c r="C24" t="str">
        <x:v>Dabjam</x:v>
      </x:c>
      <x:c r="D24" t="str">
        <x:v>Grains &amp; Pulses</x:v>
      </x:c>
      <x:c r="E24" t="str">
        <x:v>Backordered</x:v>
      </x:c>
      <x:c r="F24" t="n">
        <x:v>38</x:v>
      </x:c>
      <x:c r="G24" t="n">
        <x:v>43</x:v>
      </x:c>
      <x:c r="H24" s="22" t="n">
        <x:v>102.6</x:v>
      </x:c>
      <x:c r="I24" t="n">
        <x:v>28</x:v>
      </x:c>
      <x:c r="J24" t="n">
        <x:v>28</x:v>
      </x:c>
    </x:row>
    <x:row r="25" ht="18" customHeight="1">
      <x:c r="A25" t="str">
        <x:v>40-681-9981</x:v>
      </x:c>
      <x:c r="B25" t="str">
        <x:v>Arabica Coffee</x:v>
      </x:c>
      <x:c r="C25" t="str">
        <x:v>Feedmix</x:v>
      </x:c>
      <x:c r="D25" t="str">
        <x:v>Beverages</x:v>
      </x:c>
      <x:c r="E25" t="str">
        <x:v>Discontinued</x:v>
      </x:c>
      <x:c r="F25" t="n">
        <x:v>45</x:v>
      </x:c>
      <x:c r="G25" t="n">
        <x:v>77</x:v>
      </x:c>
      <x:c r="H25" s="22" t="n">
        <x:v>900</x:v>
      </x:c>
      <x:c r="I25" t="n">
        <x:v>2</x:v>
      </x:c>
      <x:c r="J25" t="n">
        <x:v>0</x:v>
      </x:c>
    </x:row>
    <x:row r="26" ht="18" customHeight="1">
      <x:c r="A26" t="str">
        <x:v>13-962-6263</x:v>
      </x:c>
      <x:c r="B26" t="str">
        <x:v>Sweet Potato</x:v>
      </x:c>
      <x:c r="C26" t="str">
        <x:v>Trupe</x:v>
      </x:c>
      <x:c r="D26" t="str">
        <x:v>Fruits &amp; Vegetables</x:v>
      </x:c>
      <x:c r="E26" t="str">
        <x:v>Active</x:v>
      </x:c>
      <x:c r="F26" t="n">
        <x:v>49</x:v>
      </x:c>
      <x:c r="G26" t="n">
        <x:v>1</x:v>
      </x:c>
      <x:c r="H26" s="22" t="n">
        <x:v>98</x:v>
      </x:c>
      <x:c r="I26" t="n">
        <x:v>28</x:v>
      </x:c>
      <x:c r="J26" t="n">
        <x:v>0</x:v>
      </x:c>
    </x:row>
    <x:row r="27" ht="18" customHeight="1">
      <x:c r="A27" t="str">
        <x:v>10-002-6494</x:v>
      </x:c>
      <x:c r="B27" t="str">
        <x:v>Mango</x:v>
      </x:c>
      <x:c r="C27" t="str">
        <x:v>Meevee</x:v>
      </x:c>
      <x:c r="D27" t="str">
        <x:v>Fruits &amp; Vegetables</x:v>
      </x:c>
      <x:c r="E27" t="str">
        <x:v>Backordered</x:v>
      </x:c>
      <x:c r="F27" t="n">
        <x:v>89</x:v>
      </x:c>
      <x:c r="G27" t="n">
        <x:v>92</x:v>
      </x:c>
      <x:c r="H27" s="22" t="n">
        <x:v>427.2</x:v>
      </x:c>
      <x:c r="I27" t="n">
        <x:v>62</x:v>
      </x:c>
      <x:c r="J27" t="n">
        <x:v>62</x:v>
      </x:c>
    </x:row>
    <x:row r="28" ht="18" customHeight="1">
      <x:c r="A28" t="str">
        <x:v>29-741-8132</x:v>
      </x:c>
      <x:c r="B28" t="str">
        <x:v>Kale</x:v>
      </x:c>
      <x:c r="C28" t="str">
        <x:v>Blogpad</x:v>
      </x:c>
      <x:c r="D28" t="str">
        <x:v>Fruits &amp; Vegetables</x:v>
      </x:c>
      <x:c r="E28" t="str">
        <x:v>Backordered</x:v>
      </x:c>
      <x:c r="F28" t="n">
        <x:v>47</x:v>
      </x:c>
      <x:c r="G28" t="n">
        <x:v>22</x:v>
      </x:c>
      <x:c r="H28" s="22" t="n">
        <x:v>188</x:v>
      </x:c>
      <x:c r="I28" t="n">
        <x:v>69</x:v>
      </x:c>
      <x:c r="J28" t="n">
        <x:v>0</x:v>
      </x:c>
    </x:row>
    <x:row r="29" ht="18" customHeight="1">
      <x:c r="A29" t="str">
        <x:v>30-806-3823</x:v>
      </x:c>
      <x:c r="B29" t="str">
        <x:v>Jasmine Rice</x:v>
      </x:c>
      <x:c r="C29" t="str">
        <x:v>Topicware</x:v>
      </x:c>
      <x:c r="D29" t="str">
        <x:v>Grains &amp; Pulses</x:v>
      </x:c>
      <x:c r="E29" t="str">
        <x:v>Active</x:v>
      </x:c>
      <x:c r="F29" t="n">
        <x:v>53</x:v>
      </x:c>
      <x:c r="G29" t="n">
        <x:v>26</x:v>
      </x:c>
      <x:c r="H29" s="22" t="n">
        <x:v>251.75</x:v>
      </x:c>
      <x:c r="I29" t="n">
        <x:v>3</x:v>
      </x:c>
      <x:c r="J29" t="n">
        <x:v>0</x:v>
      </x:c>
    </x:row>
    <x:row r="30" ht="18" customHeight="1">
      <x:c r="A30" t="str">
        <x:v>71-074-6292</x:v>
      </x:c>
      <x:c r="B30" t="str">
        <x:v>Sourdough Bread</x:v>
      </x:c>
      <x:c r="C30" t="str">
        <x:v>Plajo</x:v>
      </x:c>
      <x:c r="D30" t="str">
        <x:v>Bakery</x:v>
      </x:c>
      <x:c r="E30" t="str">
        <x:v>Discontinued</x:v>
      </x:c>
      <x:c r="F30" t="n">
        <x:v>65</x:v>
      </x:c>
      <x:c r="G30" t="n">
        <x:v>79</x:v>
      </x:c>
      <x:c r="H30" s="22" t="n">
        <x:v>260</x:v>
      </x:c>
      <x:c r="I30" t="n">
        <x:v>49</x:v>
      </x:c>
      <x:c r="J30" t="n">
        <x:v>0</x:v>
      </x:c>
    </x:row>
    <x:row r="31" ht="18" customHeight="1">
      <x:c r="A31" t="str">
        <x:v>95-738-4658</x:v>
      </x:c>
      <x:c r="B31" t="str">
        <x:v>Green Coffee</x:v>
      </x:c>
      <x:c r="C31" t="str">
        <x:v>Skyndu</x:v>
      </x:c>
      <x:c r="D31" t="str">
        <x:v>Beverages</x:v>
      </x:c>
      <x:c r="E31" t="str">
        <x:v>Backordered</x:v>
      </x:c>
      <x:c r="F31" t="n">
        <x:v>90</x:v>
      </x:c>
      <x:c r="G31" t="n">
        <x:v>68</x:v>
      </x:c>
      <x:c r="H31" s="22" t="n">
        <x:v>1080</x:v>
      </x:c>
      <x:c r="I31" t="n">
        <x:v>74</x:v>
      </x:c>
      <x:c r="J31" t="n">
        <x:v>0</x:v>
      </x:c>
    </x:row>
    <x:row r="32" ht="18" customHeight="1">
      <x:c r="A32" t="str">
        <x:v>55-154-4728</x:v>
      </x:c>
      <x:c r="B32" t="str">
        <x:v>Arabica Coffee</x:v>
      </x:c>
      <x:c r="C32" t="str">
        <x:v>Yotz</x:v>
      </x:c>
      <x:c r="D32" t="str">
        <x:v>Beverages</x:v>
      </x:c>
      <x:c r="E32" t="str">
        <x:v>Backordered</x:v>
      </x:c>
      <x:c r="F32" t="n">
        <x:v>65</x:v>
      </x:c>
      <x:c r="G32" t="n">
        <x:v>63</x:v>
      </x:c>
      <x:c r="H32" s="22" t="n">
        <x:v>1300</x:v>
      </x:c>
      <x:c r="I32" t="n">
        <x:v>41</x:v>
      </x:c>
      <x:c r="J32" t="n">
        <x:v>0</x:v>
      </x:c>
    </x:row>
    <x:row r="33" ht="18" customHeight="1">
      <x:c r="A33" t="str">
        <x:v>46-255-3073</x:v>
      </x:c>
      <x:c r="B33" t="str">
        <x:v>Tilapia</x:v>
      </x:c>
      <x:c r="C33" t="str">
        <x:v>Vinder</x:v>
      </x:c>
      <x:c r="D33" t="str">
        <x:v>Seafood</x:v>
      </x:c>
      <x:c r="E33" t="str">
        <x:v>Active</x:v>
      </x:c>
      <x:c r="F33" t="n">
        <x:v>30</x:v>
      </x:c>
      <x:c r="G33" t="n">
        <x:v>42</x:v>
      </x:c>
      <x:c r="H33" s="22" t="n">
        <x:v>210</x:v>
      </x:c>
      <x:c r="I33" t="n">
        <x:v>8</x:v>
      </x:c>
      <x:c r="J33" t="n">
        <x:v>12</x:v>
      </x:c>
    </x:row>
    <x:row r="34" ht="18" customHeight="1">
      <x:c r="A34" t="str">
        <x:v>95-640-0293</x:v>
      </x:c>
      <x:c r="B34" t="str">
        <x:v>Arborio Rice</x:v>
      </x:c>
      <x:c r="C34" t="str">
        <x:v>Geba</x:v>
      </x:c>
      <x:c r="D34" t="str">
        <x:v>Grains &amp; Pulses</x:v>
      </x:c>
      <x:c r="E34" t="str">
        <x:v>Active</x:v>
      </x:c>
      <x:c r="F34" t="n">
        <x:v>34</x:v>
      </x:c>
      <x:c r="G34" t="n">
        <x:v>32</x:v>
      </x:c>
      <x:c r="H34" s="22" t="n">
        <x:v>153</x:v>
      </x:c>
      <x:c r="I34" t="n">
        <x:v>22</x:v>
      </x:c>
      <x:c r="J34" t="n">
        <x:v>0</x:v>
      </x:c>
    </x:row>
    <x:row r="35" ht="18" customHeight="1">
      <x:c r="A35" t="str">
        <x:v>45-250-4679</x:v>
      </x:c>
      <x:c r="B35" t="str">
        <x:v>Bread Flour</x:v>
      </x:c>
      <x:c r="C35" t="str">
        <x:v>Dazzlesphere</x:v>
      </x:c>
      <x:c r="D35" t="str">
        <x:v>Grains &amp; Pulses</x:v>
      </x:c>
      <x:c r="E35" t="str">
        <x:v>Backordered</x:v>
      </x:c>
      <x:c r="F35" t="n">
        <x:v>54</x:v>
      </x:c>
      <x:c r="G35" t="n">
        <x:v>78</x:v>
      </x:c>
      <x:c r="H35" s="22" t="n">
        <x:v>81</x:v>
      </x:c>
      <x:c r="I35" t="n">
        <x:v>81</x:v>
      </x:c>
      <x:c r="J35" t="n">
        <x:v>81</x:v>
      </x:c>
    </x:row>
    <x:row r="36" ht="18" customHeight="1">
      <x:c r="A36" t="str">
        <x:v>03-833-3577</x:v>
      </x:c>
      <x:c r="B36" t="str">
        <x:v>Cucumber</x:v>
      </x:c>
      <x:c r="C36" t="str">
        <x:v>Kanoodle</x:v>
      </x:c>
      <x:c r="D36" t="str">
        <x:v>Fruits &amp; Vegetables</x:v>
      </x:c>
      <x:c r="E36" t="str">
        <x:v>Active</x:v>
      </x:c>
      <x:c r="F36" t="n">
        <x:v>67</x:v>
      </x:c>
      <x:c r="G36" t="n">
        <x:v>14</x:v>
      </x:c>
      <x:c r="H36" s="22" t="n">
        <x:v>120.6</x:v>
      </x:c>
      <x:c r="I36" t="n">
        <x:v>25</x:v>
      </x:c>
      <x:c r="J36" t="n">
        <x:v>0</x:v>
      </x:c>
    </x:row>
    <x:row r="37" ht="18" customHeight="1">
      <x:c r="A37" t="str">
        <x:v>08-961-3009</x:v>
      </x:c>
      <x:c r="B37" t="str">
        <x:v>Cheese</x:v>
      </x:c>
      <x:c r="C37" t="str">
        <x:v>Eimbee</x:v>
      </x:c>
      <x:c r="D37" t="str">
        <x:v>Dairy</x:v>
      </x:c>
      <x:c r="E37" t="str">
        <x:v>Backordered</x:v>
      </x:c>
      <x:c r="F37" t="n">
        <x:v>50</x:v>
      </x:c>
      <x:c r="G37" t="n">
        <x:v>14</x:v>
      </x:c>
      <x:c r="H37" s="22" t="n">
        <x:v>460</x:v>
      </x:c>
      <x:c r="I37" t="n">
        <x:v>6</x:v>
      </x:c>
      <x:c r="J37" t="n">
        <x:v>0</x:v>
      </x:c>
    </x:row>
    <x:row r="38" ht="18" customHeight="1">
      <x:c r="A38" t="str">
        <x:v>20-405-4865</x:v>
      </x:c>
      <x:c r="B38" t="str">
        <x:v>Milk</x:v>
      </x:c>
      <x:c r="C38" t="str">
        <x:v>Centimia</x:v>
      </x:c>
      <x:c r="D38" t="str">
        <x:v>Dairy</x:v>
      </x:c>
      <x:c r="E38" t="str">
        <x:v>Backordered</x:v>
      </x:c>
      <x:c r="F38" t="n">
        <x:v>13</x:v>
      </x:c>
      <x:c r="G38" t="n">
        <x:v>39</x:v>
      </x:c>
      <x:c r="H38" s="22" t="n">
        <x:v>11.7</x:v>
      </x:c>
      <x:c r="I38" t="n">
        <x:v>98</x:v>
      </x:c>
      <x:c r="J38" t="n">
        <x:v>98</x:v>
      </x:c>
    </x:row>
    <x:row r="39" ht="18" customHeight="1">
      <x:c r="A39" t="str">
        <x:v>49-377-9731</x:v>
      </x:c>
      <x:c r="B39" t="str">
        <x:v>Lime</x:v>
      </x:c>
      <x:c r="C39" t="str">
        <x:v>Livefish</x:v>
      </x:c>
      <x:c r="D39" t="str">
        <x:v>Fruits &amp; Vegetables</x:v>
      </x:c>
      <x:c r="E39" t="str">
        <x:v>Backordered</x:v>
      </x:c>
      <x:c r="F39" t="n">
        <x:v>18</x:v>
      </x:c>
      <x:c r="G39" t="n">
        <x:v>8</x:v>
      </x:c>
      <x:c r="H39" s="22" t="n">
        <x:v>36</x:v>
      </x:c>
      <x:c r="I39" t="n">
        <x:v>68</x:v>
      </x:c>
      <x:c r="J39" t="n">
        <x:v>0</x:v>
      </x:c>
    </x:row>
    <x:row r="40" ht="18" customHeight="1">
      <x:c r="A40" t="str">
        <x:v>39-810-2042</x:v>
      </x:c>
      <x:c r="B40" t="str">
        <x:v>Rice Flour</x:v>
      </x:c>
      <x:c r="C40" t="str">
        <x:v>Quatz</x:v>
      </x:c>
      <x:c r="D40" t="str">
        <x:v>Grains &amp; Pulses</x:v>
      </x:c>
      <x:c r="E40" t="str">
        <x:v>Active</x:v>
      </x:c>
      <x:c r="F40" t="n">
        <x:v>24</x:v>
      </x:c>
      <x:c r="G40" t="n">
        <x:v>2</x:v>
      </x:c>
      <x:c r="H40" s="22" t="n">
        <x:v>48</x:v>
      </x:c>
      <x:c r="I40" t="n">
        <x:v>49</x:v>
      </x:c>
      <x:c r="J40" t="n">
        <x:v>0</x:v>
      </x:c>
    </x:row>
    <x:row r="41" ht="18" customHeight="1">
      <x:c r="A41" t="str">
        <x:v>53-805-9523</x:v>
      </x:c>
      <x:c r="B41" t="str">
        <x:v>Sourdough Bread</x:v>
      </x:c>
      <x:c r="C41" t="str">
        <x:v>Rhyloo</x:v>
      </x:c>
      <x:c r="D41" t="str">
        <x:v>Bakery</x:v>
      </x:c>
      <x:c r="E41" t="str">
        <x:v>Active</x:v>
      </x:c>
      <x:c r="F41" t="n">
        <x:v>40</x:v>
      </x:c>
      <x:c r="G41" t="n">
        <x:v>30</x:v>
      </x:c>
      <x:c r="H41" s="22" t="n">
        <x:v>180</x:v>
      </x:c>
      <x:c r="I41" t="n">
        <x:v>65</x:v>
      </x:c>
      <x:c r="J41" t="n">
        <x:v>0</x:v>
      </x:c>
    </x:row>
    <x:row r="42" ht="18" customHeight="1">
      <x:c r="A42" t="str">
        <x:v>14-305-5348</x:v>
      </x:c>
      <x:c r="B42" t="str">
        <x:v>Cheese</x:v>
      </x:c>
      <x:c r="C42" t="str">
        <x:v>Shuffledrive</x:v>
      </x:c>
      <x:c r="D42" t="str">
        <x:v>Dairy</x:v>
      </x:c>
      <x:c r="E42" t="str">
        <x:v>Active</x:v>
      </x:c>
      <x:c r="F42" t="n">
        <x:v>53</x:v>
      </x:c>
      <x:c r="G42" t="n">
        <x:v>63</x:v>
      </x:c>
      <x:c r="H42" s="22" t="n">
        <x:v>477</x:v>
      </x:c>
      <x:c r="I42" t="n">
        <x:v>2</x:v>
      </x:c>
      <x:c r="J42" t="n">
        <x:v>10</x:v>
      </x:c>
    </x:row>
    <x:row r="43" ht="18" customHeight="1">
      <x:c r="A43" t="str">
        <x:v>51-459-5630</x:v>
      </x:c>
      <x:c r="B43" t="str">
        <x:v>Sour Cream</x:v>
      </x:c>
      <x:c r="C43" t="str">
        <x:v>Skyvu</x:v>
      </x:c>
      <x:c r="D43" t="str">
        <x:v>Dairy</x:v>
      </x:c>
      <x:c r="E43" t="str">
        <x:v>Active</x:v>
      </x:c>
      <x:c r="F43" t="n">
        <x:v>11</x:v>
      </x:c>
      <x:c r="G43" t="n">
        <x:v>30</x:v>
      </x:c>
      <x:c r="H43" s="22" t="n">
        <x:v>44</x:v>
      </x:c>
      <x:c r="I43" t="n">
        <x:v>4</x:v>
      </x:c>
      <x:c r="J43" t="n">
        <x:v>19</x:v>
      </x:c>
    </x:row>
    <x:row r="44" ht="18" customHeight="1">
      <x:c r="A44" t="str">
        <x:v>88-183-5781</x:v>
      </x:c>
      <x:c r="B44" t="str">
        <x:v>Whole Wheat Bread</x:v>
      </x:c>
      <x:c r="C44" t="str">
        <x:v>Lazz</x:v>
      </x:c>
      <x:c r="D44" t="str">
        <x:v>Bakery</x:v>
      </x:c>
      <x:c r="E44" t="str">
        <x:v>Backordered</x:v>
      </x:c>
      <x:c r="F44" t="n">
        <x:v>17</x:v>
      </x:c>
      <x:c r="G44" t="n">
        <x:v>63</x:v>
      </x:c>
      <x:c r="H44" s="22" t="n">
        <x:v>59.5</x:v>
      </x:c>
      <x:c r="I44" t="n">
        <x:v>3</x:v>
      </x:c>
      <x:c r="J44" t="n">
        <x:v>46</x:v>
      </x:c>
    </x:row>
    <x:row r="45" ht="18" customHeight="1">
      <x:c r="A45" t="str">
        <x:v>41-735-9837</x:v>
      </x:c>
      <x:c r="B45" t="str">
        <x:v>Robusta Coffee</x:v>
      </x:c>
      <x:c r="C45" t="str">
        <x:v>Devpulse</x:v>
      </x:c>
      <x:c r="D45" t="str">
        <x:v>Beverages</x:v>
      </x:c>
      <x:c r="E45" t="str">
        <x:v>Discontinued</x:v>
      </x:c>
      <x:c r="F45" t="n">
        <x:v>14</x:v>
      </x:c>
      <x:c r="G45" t="n">
        <x:v>77</x:v>
      </x:c>
      <x:c r="H45" s="22" t="n">
        <x:v>140</x:v>
      </x:c>
      <x:c r="I45" t="n">
        <x:v>78</x:v>
      </x:c>
      <x:c r="J45" t="n">
        <x:v>0</x:v>
      </x:c>
    </x:row>
    <x:row r="46" ht="18" customHeight="1">
      <x:c r="A46" t="str">
        <x:v>88-977-0175</x:v>
      </x:c>
      <x:c r="B46" t="str">
        <x:v>Chocolate Biscuit</x:v>
      </x:c>
      <x:c r="C46" t="str">
        <x:v>Yodo</x:v>
      </x:c>
      <x:c r="D46" t="str">
        <x:v>Bakery</x:v>
      </x:c>
      <x:c r="E46" t="str">
        <x:v>Active</x:v>
      </x:c>
      <x:c r="F46" t="n">
        <x:v>100</x:v>
      </x:c>
      <x:c r="G46" t="n">
        <x:v>1</x:v>
      </x:c>
      <x:c r="H46" s="22" t="n">
        <x:v>500</x:v>
      </x:c>
      <x:c r="I46" t="n">
        <x:v>26</x:v>
      </x:c>
      <x:c r="J46" t="n">
        <x:v>0</x:v>
      </x:c>
    </x:row>
    <x:row r="47" ht="18" customHeight="1">
      <x:c r="A47" t="str">
        <x:v>66-327-2821</x:v>
      </x:c>
      <x:c r="B47" t="str">
        <x:v>Palm Oil</x:v>
      </x:c>
      <x:c r="C47" t="str">
        <x:v>Skipstorm</x:v>
      </x:c>
      <x:c r="D47" t="str">
        <x:v>Oils &amp; Fats</x:v>
      </x:c>
      <x:c r="E47" t="str">
        <x:v>Active</x:v>
      </x:c>
      <x:c r="F47" t="n">
        <x:v>67</x:v>
      </x:c>
      <x:c r="G47" t="n">
        <x:v>57</x:v>
      </x:c>
      <x:c r="H47" s="22" t="n">
        <x:v>120.6</x:v>
      </x:c>
      <x:c r="I47" t="n">
        <x:v>36</x:v>
      </x:c>
      <x:c r="J47" t="n">
        <x:v>0</x:v>
      </x:c>
    </x:row>
    <x:row r="48" ht="18" customHeight="1">
      <x:c r="A48" t="str">
        <x:v>08-114-3922</x:v>
      </x:c>
      <x:c r="B48" t="str">
        <x:v>Anchovies</x:v>
      </x:c>
      <x:c r="C48" t="str">
        <x:v>Camido</x:v>
      </x:c>
      <x:c r="D48" t="str">
        <x:v>Seafood</x:v>
      </x:c>
      <x:c r="E48" t="str">
        <x:v>Discontinued</x:v>
      </x:c>
      <x:c r="F48" t="n">
        <x:v>60</x:v>
      </x:c>
      <x:c r="G48" t="n">
        <x:v>64</x:v>
      </x:c>
      <x:c r="H48" s="22" t="n">
        <x:v>600</x:v>
      </x:c>
      <x:c r="I48" t="n">
        <x:v>36</x:v>
      </x:c>
      <x:c r="J48" t="n">
        <x:v>0</x:v>
      </x:c>
    </x:row>
    <x:row r="49" ht="18" customHeight="1">
      <x:c r="A49" t="str">
        <x:v>95-090-2788</x:v>
      </x:c>
      <x:c r="B49" t="str">
        <x:v>Sesame Oil</x:v>
      </x:c>
      <x:c r="C49" t="str">
        <x:v>Dabtype</x:v>
      </x:c>
      <x:c r="D49" t="str">
        <x:v>Oils &amp; Fats</x:v>
      </x:c>
      <x:c r="E49" t="str">
        <x:v>Discontinued</x:v>
      </x:c>
      <x:c r="F49" t="n">
        <x:v>45</x:v>
      </x:c>
      <x:c r="G49" t="n">
        <x:v>7</x:v>
      </x:c>
      <x:c r="H49" s="22" t="n">
        <x:v>292.5</x:v>
      </x:c>
      <x:c r="I49" t="n">
        <x:v>58</x:v>
      </x:c>
      <x:c r="J49" t="n">
        <x:v>0</x:v>
      </x:c>
    </x:row>
    <x:row r="50" ht="18" customHeight="1">
      <x:c r="A50" t="str">
        <x:v>26-690-3784</x:v>
      </x:c>
      <x:c r="B50" t="str">
        <x:v>Lettuce</x:v>
      </x:c>
      <x:c r="C50" t="str">
        <x:v>Fadeo</x:v>
      </x:c>
      <x:c r="D50" t="str">
        <x:v>Fruits &amp; Vegetables</x:v>
      </x:c>
      <x:c r="E50" t="str">
        <x:v>Active</x:v>
      </x:c>
      <x:c r="F50" t="n">
        <x:v>58</x:v>
      </x:c>
      <x:c r="G50" t="n">
        <x:v>5</x:v>
      </x:c>
      <x:c r="H50" s="22" t="n">
        <x:v>116</x:v>
      </x:c>
      <x:c r="I50" t="n">
        <x:v>1</x:v>
      </x:c>
      <x:c r="J50" t="n">
        <x:v>0</x:v>
      </x:c>
    </x:row>
    <x:row r="51" ht="18" customHeight="1">
      <x:c r="A51" t="str">
        <x:v>46-753-8430</x:v>
      </x:c>
      <x:c r="B51" t="str">
        <x:v>Feta Cheese</x:v>
      </x:c>
      <x:c r="C51" t="str">
        <x:v>Rhynyx</x:v>
      </x:c>
      <x:c r="D51" t="str">
        <x:v>Dairy</x:v>
      </x:c>
      <x:c r="E51" t="str">
        <x:v>Discontinued</x:v>
      </x:c>
      <x:c r="F51" t="n">
        <x:v>98</x:v>
      </x:c>
      <x:c r="G51" t="n">
        <x:v>77</x:v>
      </x:c>
      <x:c r="H51" s="22" t="n">
        <x:v>686</x:v>
      </x:c>
      <x:c r="I51" t="n">
        <x:v>7</x:v>
      </x:c>
      <x:c r="J51" t="n">
        <x:v>0</x:v>
      </x:c>
    </x:row>
    <x:row r="52" ht="18" customHeight="1">
      <x:c r="A52" t="str">
        <x:v>15-905-7750</x:v>
      </x:c>
      <x:c r="B52" t="str">
        <x:v>Apricot</x:v>
      </x:c>
      <x:c r="C52" t="str">
        <x:v>Skinix</x:v>
      </x:c>
      <x:c r="D52" t="str">
        <x:v>Fruits &amp; Vegetables</x:v>
      </x:c>
      <x:c r="E52" t="str">
        <x:v>Backordered</x:v>
      </x:c>
      <x:c r="F52" t="n">
        <x:v>42</x:v>
      </x:c>
      <x:c r="G52" t="n">
        <x:v>61</x:v>
      </x:c>
      <x:c r="H52" s="22" t="n">
        <x:v>210</x:v>
      </x:c>
      <x:c r="I52" t="n">
        <x:v>52</x:v>
      </x:c>
      <x:c r="J52" t="n">
        <x:v>52</x:v>
      </x:c>
    </x:row>
    <x:row r="53" ht="18" customHeight="1">
      <x:c r="A53" t="str">
        <x:v>11-891-8213</x:v>
      </x:c>
      <x:c r="B53" t="str">
        <x:v>Peanut Oil</x:v>
      </x:c>
      <x:c r="C53" t="str">
        <x:v>Tagopia</x:v>
      </x:c>
      <x:c r="D53" t="str">
        <x:v>Oils &amp; Fats</x:v>
      </x:c>
      <x:c r="E53" t="str">
        <x:v>Discontinued</x:v>
      </x:c>
      <x:c r="F53" t="n">
        <x:v>38</x:v>
      </x:c>
      <x:c r="G53" t="n">
        <x:v>62</x:v>
      </x:c>
      <x:c r="H53" s="22" t="n">
        <x:v>152</x:v>
      </x:c>
      <x:c r="I53" t="n">
        <x:v>47</x:v>
      </x:c>
      <x:c r="J53" t="n">
        <x:v>0</x:v>
      </x:c>
    </x:row>
    <x:row r="54" ht="18" customHeight="1">
      <x:c r="A54" t="str">
        <x:v>82-811-7988</x:v>
      </x:c>
      <x:c r="B54" t="str">
        <x:v>Olive Oil</x:v>
      </x:c>
      <x:c r="C54" t="str">
        <x:v>Realmix</x:v>
      </x:c>
      <x:c r="D54" t="str">
        <x:v>Oils &amp; Fats</x:v>
      </x:c>
      <x:c r="E54" t="str">
        <x:v>Discontinued</x:v>
      </x:c>
      <x:c r="F54" t="n">
        <x:v>36</x:v>
      </x:c>
      <x:c r="G54" t="n">
        <x:v>3</x:v>
      </x:c>
      <x:c r="H54" s="22" t="n">
        <x:v>216</x:v>
      </x:c>
      <x:c r="I54" t="n">
        <x:v>54</x:v>
      </x:c>
      <x:c r="J54" t="n">
        <x:v>0</x:v>
      </x:c>
    </x:row>
    <x:row r="55" ht="18" customHeight="1">
      <x:c r="A55" t="str">
        <x:v>31-746-4951</x:v>
      </x:c>
      <x:c r="B55" t="str">
        <x:v>Whole Wheat Flour</x:v>
      </x:c>
      <x:c r="C55" t="str">
        <x:v>Gigaclub</x:v>
      </x:c>
      <x:c r="D55" t="str">
        <x:v>Grains &amp; Pulses</x:v>
      </x:c>
      <x:c r="E55" t="str">
        <x:v>Active</x:v>
      </x:c>
      <x:c r="F55" t="n">
        <x:v>67</x:v>
      </x:c>
      <x:c r="G55" t="n">
        <x:v>60</x:v>
      </x:c>
      <x:c r="H55" s="22" t="n">
        <x:v>184.25</x:v>
      </x:c>
      <x:c r="I55" t="n">
        <x:v>21</x:v>
      </x:c>
      <x:c r="J55" t="n">
        <x:v>0</x:v>
      </x:c>
    </x:row>
    <x:row r="56" ht="18" customHeight="1">
      <x:c r="A56" t="str">
        <x:v>97-300-7511</x:v>
      </x:c>
      <x:c r="B56" t="str">
        <x:v>Egg (Duck)</x:v>
      </x:c>
      <x:c r="C56" t="str">
        <x:v>Katz</x:v>
      </x:c>
      <x:c r="D56" t="str">
        <x:v>Dairy</x:v>
      </x:c>
      <x:c r="E56" t="str">
        <x:v>Backordered</x:v>
      </x:c>
      <x:c r="F56" t="n">
        <x:v>37</x:v>
      </x:c>
      <x:c r="G56" t="n">
        <x:v>53</x:v>
      </x:c>
      <x:c r="H56" s="22" t="n">
        <x:v>37</x:v>
      </x:c>
      <x:c r="I56" t="n">
        <x:v>61</x:v>
      </x:c>
      <x:c r="J56" t="n">
        <x:v>61</x:v>
      </x:c>
    </x:row>
    <x:row r="57" ht="18" customHeight="1">
      <x:c r="A57" t="str">
        <x:v>88-304-2855</x:v>
      </x:c>
      <x:c r="B57" t="str">
        <x:v>Pineapple</x:v>
      </x:c>
      <x:c r="C57" t="str">
        <x:v>Brainverse</x:v>
      </x:c>
      <x:c r="D57" t="str">
        <x:v>Fruits &amp; Vegetables</x:v>
      </x:c>
      <x:c r="E57" t="str">
        <x:v>Active</x:v>
      </x:c>
      <x:c r="F57" t="n">
        <x:v>20</x:v>
      </x:c>
      <x:c r="G57" t="n">
        <x:v>51</x:v>
      </x:c>
      <x:c r="H57" s="22" t="n">
        <x:v>70</x:v>
      </x:c>
      <x:c r="I57" t="n">
        <x:v>33</x:v>
      </x:c>
      <x:c r="J57" t="n">
        <x:v>33</x:v>
      </x:c>
    </x:row>
    <x:row r="58" ht="18" customHeight="1">
      <x:c r="A58" t="str">
        <x:v>53-008-2419</x:v>
      </x:c>
      <x:c r="B58" t="str">
        <x:v>Jasmine Rice</x:v>
      </x:c>
      <x:c r="C58" t="str">
        <x:v>Skyba</x:v>
      </x:c>
      <x:c r="D58" t="str">
        <x:v>Grains &amp; Pulses</x:v>
      </x:c>
      <x:c r="E58" t="str">
        <x:v>Discontinued</x:v>
      </x:c>
      <x:c r="F58" t="n">
        <x:v>62</x:v>
      </x:c>
      <x:c r="G58" t="n">
        <x:v>36</x:v>
      </x:c>
      <x:c r="H58" s="22" t="n">
        <x:v>294.5</x:v>
      </x:c>
      <x:c r="I58" t="n">
        <x:v>96</x:v>
      </x:c>
      <x:c r="J58" t="n">
        <x:v>0</x:v>
      </x:c>
    </x:row>
    <x:row r="59" ht="18" customHeight="1">
      <x:c r="A59" t="str">
        <x:v>76-340-4432</x:v>
      </x:c>
      <x:c r="B59" t="str">
        <x:v>Cucumber</x:v>
      </x:c>
      <x:c r="C59" t="str">
        <x:v>Brainverse</x:v>
      </x:c>
      <x:c r="D59" t="str">
        <x:v>Fruits &amp; Vegetables</x:v>
      </x:c>
      <x:c r="E59" t="str">
        <x:v>Backordered</x:v>
      </x:c>
      <x:c r="F59" t="n">
        <x:v>19</x:v>
      </x:c>
      <x:c r="G59" t="n">
        <x:v>36</x:v>
      </x:c>
      <x:c r="H59" s="22" t="n">
        <x:v>33.25</x:v>
      </x:c>
      <x:c r="I59" t="n">
        <x:v>72</x:v>
      </x:c>
      <x:c r="J59" t="n">
        <x:v>72</x:v>
      </x:c>
    </x:row>
    <x:row r="60" ht="18" customHeight="1">
      <x:c r="A60" t="str">
        <x:v>26-010-9519</x:v>
      </x:c>
      <x:c r="B60" t="str">
        <x:v>Trout</x:v>
      </x:c>
      <x:c r="C60" t="str">
        <x:v>Blogtag</x:v>
      </x:c>
      <x:c r="D60" t="str">
        <x:v>Seafood</x:v>
      </x:c>
      <x:c r="E60" t="str">
        <x:v>Active</x:v>
      </x:c>
      <x:c r="F60" t="n">
        <x:v>29</x:v>
      </x:c>
      <x:c r="G60" t="n">
        <x:v>72</x:v>
      </x:c>
      <x:c r="H60" s="22" t="n">
        <x:v>348</x:v>
      </x:c>
      <x:c r="I60" t="n">
        <x:v>96</x:v>
      </x:c>
      <x:c r="J60" t="n">
        <x:v>96</x:v>
      </x:c>
    </x:row>
    <x:row r="61" ht="18" customHeight="1">
      <x:c r="A61" t="str">
        <x:v>08-940-8578</x:v>
      </x:c>
      <x:c r="B61" t="str">
        <x:v>Onion</x:v>
      </x:c>
      <x:c r="C61" t="str">
        <x:v>Oba</x:v>
      </x:c>
      <x:c r="D61" t="str">
        <x:v>Fruits &amp; Vegetables</x:v>
      </x:c>
      <x:c r="E61" t="str">
        <x:v>Discontinued</x:v>
      </x:c>
      <x:c r="F61" t="n">
        <x:v>34</x:v>
      </x:c>
      <x:c r="G61" t="n">
        <x:v>29</x:v>
      </x:c>
      <x:c r="H61" s="22" t="n">
        <x:v>68</x:v>
      </x:c>
      <x:c r="I61" t="n">
        <x:v>65</x:v>
      </x:c>
      <x:c r="J61" t="n">
        <x:v>0</x:v>
      </x:c>
    </x:row>
    <x:row r="62" ht="18" customHeight="1">
      <x:c r="A62" t="str">
        <x:v>54-374-9986</x:v>
      </x:c>
      <x:c r="B62" t="str">
        <x:v>Cream</x:v>
      </x:c>
      <x:c r="C62" t="str">
        <x:v>Oyondu</x:v>
      </x:c>
      <x:c r="D62" t="str">
        <x:v>Dairy</x:v>
      </x:c>
      <x:c r="E62" t="str">
        <x:v>Discontinued</x:v>
      </x:c>
      <x:c r="F62" t="n">
        <x:v>92</x:v>
      </x:c>
      <x:c r="G62" t="n">
        <x:v>52</x:v>
      </x:c>
      <x:c r="H62" s="22" t="n">
        <x:v>230</x:v>
      </x:c>
      <x:c r="I62" t="n">
        <x:v>80</x:v>
      </x:c>
      <x:c r="J62" t="n">
        <x:v>0</x:v>
      </x:c>
    </x:row>
    <x:row r="63" ht="18" customHeight="1">
      <x:c r="A63" t="str">
        <x:v>67-625-9704</x:v>
      </x:c>
      <x:c r="B63" t="str">
        <x:v>Sardines</x:v>
      </x:c>
      <x:c r="C63" t="str">
        <x:v>Eayo</x:v>
      </x:c>
      <x:c r="D63" t="str">
        <x:v>Seafood</x:v>
      </x:c>
      <x:c r="E63" t="str">
        <x:v>Discontinued</x:v>
      </x:c>
      <x:c r="F63" t="n">
        <x:v>33</x:v>
      </x:c>
      <x:c r="G63" t="n">
        <x:v>18</x:v>
      </x:c>
      <x:c r="H63" s="22" t="n">
        <x:v>198</x:v>
      </x:c>
      <x:c r="I63" t="n">
        <x:v>92</x:v>
      </x:c>
      <x:c r="J63" t="n">
        <x:v>0</x:v>
      </x:c>
    </x:row>
    <x:row r="64" ht="18" customHeight="1">
      <x:c r="A64" t="str">
        <x:v>56-635-6764</x:v>
      </x:c>
      <x:c r="B64" t="str">
        <x:v>Sourdough Bread</x:v>
      </x:c>
      <x:c r="C64" t="str">
        <x:v>Avamba</x:v>
      </x:c>
      <x:c r="D64" t="str">
        <x:v>Bakery</x:v>
      </x:c>
      <x:c r="E64" t="str">
        <x:v>Backordered</x:v>
      </x:c>
      <x:c r="F64" t="n">
        <x:v>12</x:v>
      </x:c>
      <x:c r="G64" t="n">
        <x:v>59</x:v>
      </x:c>
      <x:c r="H64" s="22" t="n">
        <x:v>54</x:v>
      </x:c>
      <x:c r="I64" t="n">
        <x:v>62</x:v>
      </x:c>
      <x:c r="J64" t="n">
        <x:v>62</x:v>
      </x:c>
    </x:row>
    <x:row r="65" ht="18" customHeight="1">
      <x:c r="A65" t="str">
        <x:v>10-445-0741</x:v>
      </x:c>
      <x:c r="B65" t="str">
        <x:v>Anchovies</x:v>
      </x:c>
      <x:c r="C65" t="str">
        <x:v>Mybuzz</x:v>
      </x:c>
      <x:c r="D65" t="str">
        <x:v>Seafood</x:v>
      </x:c>
      <x:c r="E65" t="str">
        <x:v>Active</x:v>
      </x:c>
      <x:c r="F65" t="n">
        <x:v>83</x:v>
      </x:c>
      <x:c r="G65" t="n">
        <x:v>17</x:v>
      </x:c>
      <x:c r="H65" s="22" t="n">
        <x:v>830</x:v>
      </x:c>
      <x:c r="I65" t="n">
        <x:v>39</x:v>
      </x:c>
      <x:c r="J65" t="n">
        <x:v>0</x:v>
      </x:c>
    </x:row>
    <x:row r="66" ht="18" customHeight="1">
      <x:c r="A66" t="str">
        <x:v>76-584-4790</x:v>
      </x:c>
      <x:c r="B66" t="str">
        <x:v>Peanut Oil</x:v>
      </x:c>
      <x:c r="C66" t="str">
        <x:v>Twitterwire</x:v>
      </x:c>
      <x:c r="D66" t="str">
        <x:v>Oils &amp; Fats</x:v>
      </x:c>
      <x:c r="E66" t="str">
        <x:v>Backordered</x:v>
      </x:c>
      <x:c r="F66" t="n">
        <x:v>21</x:v>
      </x:c>
      <x:c r="G66" t="n">
        <x:v>52</x:v>
      </x:c>
      <x:c r="H66" s="22" t="n">
        <x:v>84</x:v>
      </x:c>
      <x:c r="I66" t="n">
        <x:v>80</x:v>
      </x:c>
      <x:c r="J66" t="n">
        <x:v>80</x:v>
      </x:c>
    </x:row>
    <x:row r="67" ht="18" customHeight="1">
      <x:c r="A67" t="str">
        <x:v>57-437-1828</x:v>
      </x:c>
      <x:c r="B67" t="str">
        <x:v>Plum</x:v>
      </x:c>
      <x:c r="C67" t="str">
        <x:v>Topicstorm</x:v>
      </x:c>
      <x:c r="D67" t="str">
        <x:v>Fruits &amp; Vegetables</x:v>
      </x:c>
      <x:c r="E67" t="str">
        <x:v>Backordered</x:v>
      </x:c>
      <x:c r="F67" t="n">
        <x:v>37</x:v>
      </x:c>
      <x:c r="G67" t="n">
        <x:v>30</x:v>
      </x:c>
      <x:c r="H67" s="22" t="n">
        <x:v>148</x:v>
      </x:c>
      <x:c r="I67" t="n">
        <x:v>74</x:v>
      </x:c>
      <x:c r="J67" t="n">
        <x:v>0</x:v>
      </x:c>
    </x:row>
    <x:row r="68" ht="18" customHeight="1">
      <x:c r="A68" t="str">
        <x:v>62-777-6010</x:v>
      </x:c>
      <x:c r="B68" t="str">
        <x:v>Sushi Rice</x:v>
      </x:c>
      <x:c r="C68" t="str">
        <x:v>Katz</x:v>
      </x:c>
      <x:c r="D68" t="str">
        <x:v>Grains &amp; Pulses</x:v>
      </x:c>
      <x:c r="E68" t="str">
        <x:v>Backordered</x:v>
      </x:c>
      <x:c r="F68" t="n">
        <x:v>77</x:v>
      </x:c>
      <x:c r="G68" t="n">
        <x:v>20</x:v>
      </x:c>
      <x:c r="H68" s="22" t="n">
        <x:v>327.25</x:v>
      </x:c>
      <x:c r="I68" t="n">
        <x:v>37</x:v>
      </x:c>
      <x:c r="J68" t="n">
        <x:v>0</x:v>
      </x:c>
    </x:row>
    <x:row r="69" ht="18" customHeight="1">
      <x:c r="A69" t="str">
        <x:v>06-955-3428</x:v>
      </x:c>
      <x:c r="B69" t="str">
        <x:v>Black Rice</x:v>
      </x:c>
      <x:c r="C69" t="str">
        <x:v>Vinder</x:v>
      </x:c>
      <x:c r="D69" t="str">
        <x:v>Grains &amp; Pulses</x:v>
      </x:c>
      <x:c r="E69" t="str">
        <x:v>Backordered</x:v>
      </x:c>
      <x:c r="F69" t="n">
        <x:v>30</x:v>
      </x:c>
      <x:c r="G69" t="n">
        <x:v>38</x:v>
      </x:c>
      <x:c r="H69" s="22" t="n">
        <x:v>180</x:v>
      </x:c>
      <x:c r="I69" t="n">
        <x:v>83</x:v>
      </x:c>
      <x:c r="J69" t="n">
        <x:v>83</x:v>
      </x:c>
    </x:row>
    <x:row r="70" ht="18" customHeight="1">
      <x:c r="A70" t="str">
        <x:v>04-758-0410</x:v>
      </x:c>
      <x:c r="B70" t="str">
        <x:v>Wild Rice</x:v>
      </x:c>
      <x:c r="C70" t="str">
        <x:v>Wordpedia</x:v>
      </x:c>
      <x:c r="D70" t="str">
        <x:v>Grains &amp; Pulses</x:v>
      </x:c>
      <x:c r="E70" t="str">
        <x:v>Discontinued</x:v>
      </x:c>
      <x:c r="F70" t="n">
        <x:v>26</x:v>
      </x:c>
      <x:c r="G70" t="n">
        <x:v>21</x:v>
      </x:c>
      <x:c r="H70" s="22" t="n">
        <x:v>260</x:v>
      </x:c>
      <x:c r="I70" t="n">
        <x:v>47</x:v>
      </x:c>
      <x:c r="J70" t="n">
        <x:v>0</x:v>
      </x:c>
    </x:row>
    <x:row r="71" ht="18" customHeight="1">
      <x:c r="A71" t="str">
        <x:v>06-655-5498</x:v>
      </x:c>
      <x:c r="B71" t="str">
        <x:v>Wild Rice</x:v>
      </x:c>
      <x:c r="C71" t="str">
        <x:v>Kayveo</x:v>
      </x:c>
      <x:c r="D71" t="str">
        <x:v>Grains &amp; Pulses</x:v>
      </x:c>
      <x:c r="E71" t="str">
        <x:v>Backordered</x:v>
      </x:c>
      <x:c r="F71" t="n">
        <x:v>72</x:v>
      </x:c>
      <x:c r="G71" t="n">
        <x:v>82</x:v>
      </x:c>
      <x:c r="H71" s="22" t="n">
        <x:v>702</x:v>
      </x:c>
      <x:c r="I71" t="n">
        <x:v>52</x:v>
      </x:c>
      <x:c r="J71" t="n">
        <x:v>52</x:v>
      </x:c>
    </x:row>
    <x:row r="72" ht="18" customHeight="1">
      <x:c r="A72" t="str">
        <x:v>76-401-7083</x:v>
      </x:c>
      <x:c r="B72" t="str">
        <x:v>Pomegranate</x:v>
      </x:c>
      <x:c r="C72" t="str">
        <x:v>Meeveo</x:v>
      </x:c>
      <x:c r="D72" t="str">
        <x:v>Fruits &amp; Vegetables</x:v>
      </x:c>
      <x:c r="E72" t="str">
        <x:v>Active</x:v>
      </x:c>
      <x:c r="F72" t="n">
        <x:v>59</x:v>
      </x:c>
      <x:c r="G72" t="n">
        <x:v>79</x:v>
      </x:c>
      <x:c r="H72" s="22" t="n">
        <x:v>354</x:v>
      </x:c>
      <x:c r="I72" t="n">
        <x:v>87</x:v>
      </x:c>
      <x:c r="J72" t="n">
        <x:v>87</x:v>
      </x:c>
    </x:row>
    <x:row r="73" ht="18" customHeight="1">
      <x:c r="A73" t="str">
        <x:v>30-429-2162</x:v>
      </x:c>
      <x:c r="B73" t="str">
        <x:v>Black Rice</x:v>
      </x:c>
      <x:c r="C73" t="str">
        <x:v>Npath</x:v>
      </x:c>
      <x:c r="D73" t="str">
        <x:v>Grains &amp; Pulses</x:v>
      </x:c>
      <x:c r="E73" t="str">
        <x:v>Discontinued</x:v>
      </x:c>
      <x:c r="F73" t="n">
        <x:v>34</x:v>
      </x:c>
      <x:c r="G73" t="n">
        <x:v>96</x:v>
      </x:c>
      <x:c r="H73" s="22" t="n">
        <x:v>209.1</x:v>
      </x:c>
      <x:c r="I73" t="n">
        <x:v>76</x:v>
      </x:c>
      <x:c r="J73" t="n">
        <x:v>0</x:v>
      </x:c>
    </x:row>
    <x:row r="74" ht="18" customHeight="1">
      <x:c r="A74" t="str">
        <x:v>49-730-0159</x:v>
      </x:c>
      <x:c r="B74" t="str">
        <x:v>Cream</x:v>
      </x:c>
      <x:c r="C74" t="str">
        <x:v>Riffpedia</x:v>
      </x:c>
      <x:c r="D74" t="str">
        <x:v>Dairy</x:v>
      </x:c>
      <x:c r="E74" t="str">
        <x:v>Active</x:v>
      </x:c>
      <x:c r="F74" t="n">
        <x:v>82</x:v>
      </x:c>
      <x:c r="G74" t="n">
        <x:v>3</x:v>
      </x:c>
      <x:c r="H74" s="22" t="n">
        <x:v>196.8</x:v>
      </x:c>
      <x:c r="I74" t="n">
        <x:v>82</x:v>
      </x:c>
      <x:c r="J74" t="n">
        <x:v>0</x:v>
      </x:c>
    </x:row>
    <x:row r="75" ht="18" customHeight="1">
      <x:c r="A75" t="str">
        <x:v>31-745-6850</x:v>
      </x:c>
      <x:c r="B75" t="str">
        <x:v>Cabbage</x:v>
      </x:c>
      <x:c r="C75" t="str">
        <x:v>Lajo</x:v>
      </x:c>
      <x:c r="D75" t="str">
        <x:v>Fruits &amp; Vegetables</x:v>
      </x:c>
      <x:c r="E75" t="str">
        <x:v>Active</x:v>
      </x:c>
      <x:c r="F75" t="n">
        <x:v>94</x:v>
      </x:c>
      <x:c r="G75" t="n">
        <x:v>90</x:v>
      </x:c>
      <x:c r="H75" s="22" t="n">
        <x:v>84.6</x:v>
      </x:c>
      <x:c r="I75" t="n">
        <x:v>12</x:v>
      </x:c>
      <x:c r="J75" t="n">
        <x:v>0</x:v>
      </x:c>
    </x:row>
    <x:row r="76" ht="18" customHeight="1">
      <x:c r="A76" t="str">
        <x:v>69-468-5468</x:v>
      </x:c>
      <x:c r="B76" t="str">
        <x:v>Sourdough Bread</x:v>
      </x:c>
      <x:c r="C76" t="str">
        <x:v>Vinte</x:v>
      </x:c>
      <x:c r="D76" t="str">
        <x:v>Bakery</x:v>
      </x:c>
      <x:c r="E76" t="str">
        <x:v>Active</x:v>
      </x:c>
      <x:c r="F76" t="n">
        <x:v>59</x:v>
      </x:c>
      <x:c r="G76" t="n">
        <x:v>78</x:v>
      </x:c>
      <x:c r="H76" s="22" t="n">
        <x:v>265.5</x:v>
      </x:c>
      <x:c r="I76" t="n">
        <x:v>6</x:v>
      </x:c>
      <x:c r="J76" t="n">
        <x:v>19</x:v>
      </x:c>
    </x:row>
    <x:row r="77" ht="18" customHeight="1">
      <x:c r="A77" t="str">
        <x:v>68-636-4774</x:v>
      </x:c>
      <x:c r="B77" t="str">
        <x:v>Carrot</x:v>
      </x:c>
      <x:c r="C77" t="str">
        <x:v>Gevee</x:v>
      </x:c>
      <x:c r="D77" t="str">
        <x:v>Fruits &amp; Vegetables</x:v>
      </x:c>
      <x:c r="E77" t="str">
        <x:v>Active</x:v>
      </x:c>
      <x:c r="F77" t="n">
        <x:v>18</x:v>
      </x:c>
      <x:c r="G77" t="n">
        <x:v>50</x:v>
      </x:c>
      <x:c r="H77" s="22" t="n">
        <x:v>26.1</x:v>
      </x:c>
      <x:c r="I77" t="n">
        <x:v>77</x:v>
      </x:c>
      <x:c r="J77" t="n">
        <x:v>77</x:v>
      </x:c>
    </x:row>
    <x:row r="78" ht="18" customHeight="1">
      <x:c r="A78" t="str">
        <x:v>21-120-6238</x:v>
      </x:c>
      <x:c r="B78" t="str">
        <x:v>All-Purpose Flour</x:v>
      </x:c>
      <x:c r="C78" t="str">
        <x:v>Dabjam</x:v>
      </x:c>
      <x:c r="D78" t="str">
        <x:v>Grains &amp; Pulses</x:v>
      </x:c>
      <x:c r="E78" t="str">
        <x:v>Discontinued</x:v>
      </x:c>
      <x:c r="F78" t="n">
        <x:v>55</x:v>
      </x:c>
      <x:c r="G78" t="n">
        <x:v>33</x:v>
      </x:c>
      <x:c r="H78" s="22" t="n">
        <x:v>96.25</x:v>
      </x:c>
      <x:c r="I78" t="n">
        <x:v>14</x:v>
      </x:c>
      <x:c r="J78" t="n">
        <x:v>0</x:v>
      </x:c>
    </x:row>
    <x:row r="79" ht="18" customHeight="1">
      <x:c r="A79" t="str">
        <x:v>92-995-8689</x:v>
      </x:c>
      <x:c r="B79" t="str">
        <x:v>Cheddar Cheese</x:v>
      </x:c>
      <x:c r="C79" t="str">
        <x:v>Wordify</x:v>
      </x:c>
      <x:c r="D79" t="str">
        <x:v>Dairy</x:v>
      </x:c>
      <x:c r="E79" t="str">
        <x:v>Backordered</x:v>
      </x:c>
      <x:c r="F79" t="n">
        <x:v>31</x:v>
      </x:c>
      <x:c r="G79" t="n">
        <x:v>65</x:v>
      </x:c>
      <x:c r="H79" s="22" t="n">
        <x:v>279</x:v>
      </x:c>
      <x:c r="I79" t="n">
        <x:v>94</x:v>
      </x:c>
      <x:c r="J79" t="n">
        <x:v>94</x:v>
      </x:c>
    </x:row>
    <x:row r="80" ht="18" customHeight="1">
      <x:c r="A80" t="str">
        <x:v>15-045-8444</x:v>
      </x:c>
      <x:c r="B80" t="str">
        <x:v>Green Coffee</x:v>
      </x:c>
      <x:c r="C80" t="str">
        <x:v>Aibox</x:v>
      </x:c>
      <x:c r="D80" t="str">
        <x:v>Beverages</x:v>
      </x:c>
      <x:c r="E80" t="str">
        <x:v>Discontinued</x:v>
      </x:c>
      <x:c r="F80" t="n">
        <x:v>27</x:v>
      </x:c>
      <x:c r="G80" t="n">
        <x:v>12</x:v>
      </x:c>
      <x:c r="H80" s="22" t="n">
        <x:v>324</x:v>
      </x:c>
      <x:c r="I80" t="n">
        <x:v>93</x:v>
      </x:c>
      <x:c r="J80" t="n">
        <x:v>0</x:v>
      </x:c>
    </x:row>
    <x:row r="81" ht="18" customHeight="1">
      <x:c r="A81" t="str">
        <x:v>73-567-6194</x:v>
      </x:c>
      <x:c r="B81" t="str">
        <x:v>Whipped Cream</x:v>
      </x:c>
      <x:c r="C81" t="str">
        <x:v>Yakitri</x:v>
      </x:c>
      <x:c r="D81" t="str">
        <x:v>Dairy</x:v>
      </x:c>
      <x:c r="E81" t="str">
        <x:v>Active</x:v>
      </x:c>
      <x:c r="F81" t="n">
        <x:v>76</x:v>
      </x:c>
      <x:c r="G81" t="n">
        <x:v>81</x:v>
      </x:c>
      <x:c r="H81" s="22" t="n">
        <x:v>304</x:v>
      </x:c>
      <x:c r="I81" t="n">
        <x:v>85</x:v>
      </x:c>
      <x:c r="J81" t="n">
        <x:v>85</x:v>
      </x:c>
    </x:row>
    <x:row r="82" ht="18" customHeight="1">
      <x:c r="A82" t="str">
        <x:v>48-242-8445</x:v>
      </x:c>
      <x:c r="B82" t="str">
        <x:v>Plum</x:v>
      </x:c>
      <x:c r="C82" t="str">
        <x:v>Mybuzz</x:v>
      </x:c>
      <x:c r="D82" t="str">
        <x:v>Fruits &amp; Vegetables</x:v>
      </x:c>
      <x:c r="E82" t="str">
        <x:v>Discontinued</x:v>
      </x:c>
      <x:c r="F82" t="n">
        <x:v>40</x:v>
      </x:c>
      <x:c r="G82" t="n">
        <x:v>3</x:v>
      </x:c>
      <x:c r="H82" s="22" t="n">
        <x:v>160</x:v>
      </x:c>
      <x:c r="I82" t="n">
        <x:v>5</x:v>
      </x:c>
      <x:c r="J82" t="n">
        <x:v>0</x:v>
      </x:c>
    </x:row>
    <x:row r="83" ht="18" customHeight="1">
      <x:c r="A83" t="str">
        <x:v>33-507-9886</x:v>
      </x:c>
      <x:c r="B83" t="str">
        <x:v>Pineapple</x:v>
      </x:c>
      <x:c r="C83" t="str">
        <x:v>Quinu</x:v>
      </x:c>
      <x:c r="D83" t="str">
        <x:v>Fruits &amp; Vegetables</x:v>
      </x:c>
      <x:c r="E83" t="str">
        <x:v>Active</x:v>
      </x:c>
      <x:c r="F83" t="n">
        <x:v>68</x:v>
      </x:c>
      <x:c r="G83" t="n">
        <x:v>25</x:v>
      </x:c>
      <x:c r="H83" s="22" t="n">
        <x:v>238</x:v>
      </x:c>
      <x:c r="I83" t="n">
        <x:v>16</x:v>
      </x:c>
      <x:c r="J83" t="n">
        <x:v>0</x:v>
      </x:c>
    </x:row>
    <x:row r="84" ht="18" customHeight="1">
      <x:c r="A84" t="str">
        <x:v>80-025-6757</x:v>
      </x:c>
      <x:c r="B84" t="str">
        <x:v>Grapes</x:v>
      </x:c>
      <x:c r="C84" t="str">
        <x:v>Thoughtmix</x:v>
      </x:c>
      <x:c r="D84" t="str">
        <x:v>Fruits &amp; Vegetables</x:v>
      </x:c>
      <x:c r="E84" t="str">
        <x:v>Discontinued</x:v>
      </x:c>
      <x:c r="F84" t="n">
        <x:v>59</x:v>
      </x:c>
      <x:c r="G84" t="n">
        <x:v>29</x:v>
      </x:c>
      <x:c r="H84" s="22" t="n">
        <x:v>324.5</x:v>
      </x:c>
      <x:c r="I84" t="n">
        <x:v>100</x:v>
      </x:c>
      <x:c r="J84" t="n">
        <x:v>0</x:v>
      </x:c>
    </x:row>
    <x:row r="85" ht="18" customHeight="1">
      <x:c r="A85" t="str">
        <x:v>36-296-9609</x:v>
      </x:c>
      <x:c r="B85" t="str">
        <x:v>Sunflower Oil</x:v>
      </x:c>
      <x:c r="C85" t="str">
        <x:v>Photofeed</x:v>
      </x:c>
      <x:c r="D85" t="str">
        <x:v>Oils &amp; Fats</x:v>
      </x:c>
      <x:c r="E85" t="str">
        <x:v>Backordered</x:v>
      </x:c>
      <x:c r="F85" t="n">
        <x:v>24</x:v>
      </x:c>
      <x:c r="G85" t="n">
        <x:v>35</x:v>
      </x:c>
      <x:c r="H85" s="22" t="n">
        <x:v>60</x:v>
      </x:c>
      <x:c r="I85" t="n">
        <x:v>14</x:v>
      </x:c>
      <x:c r="J85" t="n">
        <x:v>14</x:v>
      </x:c>
    </x:row>
    <x:row r="86" ht="18" customHeight="1">
      <x:c r="A86" t="str">
        <x:v>56-054-8664</x:v>
      </x:c>
      <x:c r="B86" t="str">
        <x:v>Lemon</x:v>
      </x:c>
      <x:c r="C86" t="str">
        <x:v>Centimia</x:v>
      </x:c>
      <x:c r="D86" t="str">
        <x:v>Fruits &amp; Vegetables</x:v>
      </x:c>
      <x:c r="E86" t="str">
        <x:v>Discontinued</x:v>
      </x:c>
      <x:c r="F86" t="n">
        <x:v>59</x:v>
      </x:c>
      <x:c r="G86" t="n">
        <x:v>82</x:v>
      </x:c>
      <x:c r="H86" s="22" t="n">
        <x:v>144.55</x:v>
      </x:c>
      <x:c r="I86" t="n">
        <x:v>69</x:v>
      </x:c>
      <x:c r="J86" t="n">
        <x:v>0</x:v>
      </x:c>
    </x:row>
    <x:row r="87" ht="18" customHeight="1">
      <x:c r="A87" t="str">
        <x:v>64-478-4745</x:v>
      </x:c>
      <x:c r="B87" t="str">
        <x:v>Lemon</x:v>
      </x:c>
      <x:c r="C87" t="str">
        <x:v>Mydo</x:v>
      </x:c>
      <x:c r="D87" t="str">
        <x:v>Fruits &amp; Vegetables</x:v>
      </x:c>
      <x:c r="E87" t="str">
        <x:v>Active</x:v>
      </x:c>
      <x:c r="F87" t="n">
        <x:v>63</x:v>
      </x:c>
      <x:c r="G87" t="n">
        <x:v>81</x:v>
      </x:c>
      <x:c r="H87" s="22" t="n">
        <x:v>157.5</x:v>
      </x:c>
      <x:c r="I87" t="n">
        <x:v>94</x:v>
      </x:c>
      <x:c r="J87" t="n">
        <x:v>94</x:v>
      </x:c>
    </x:row>
    <x:row r="88" ht="18" customHeight="1">
      <x:c r="A88" t="str">
        <x:v>67-546-1568</x:v>
      </x:c>
      <x:c r="B88" t="str">
        <x:v>Peanut Oil</x:v>
      </x:c>
      <x:c r="C88" t="str">
        <x:v>Edgeify</x:v>
      </x:c>
      <x:c r="D88" t="str">
        <x:v>Oils &amp; Fats</x:v>
      </x:c>
      <x:c r="E88" t="str">
        <x:v>Backordered</x:v>
      </x:c>
      <x:c r="F88" t="n">
        <x:v>57</x:v>
      </x:c>
      <x:c r="G88" t="n">
        <x:v>36</x:v>
      </x:c>
      <x:c r="H88" s="22" t="n">
        <x:v>228</x:v>
      </x:c>
      <x:c r="I88" t="n">
        <x:v>53</x:v>
      </x:c>
      <x:c r="J88" t="n">
        <x:v>0</x:v>
      </x:c>
    </x:row>
    <x:row r="89" ht="18" customHeight="1">
      <x:c r="A89" t="str">
        <x:v>10-218-2680</x:v>
      </x:c>
      <x:c r="B89" t="str">
        <x:v>Egg (Turkey)</x:v>
      </x:c>
      <x:c r="C89" t="str">
        <x:v>Quinu</x:v>
      </x:c>
      <x:c r="D89" t="str">
        <x:v>Dairy</x:v>
      </x:c>
      <x:c r="E89" t="str">
        <x:v>Backordered</x:v>
      </x:c>
      <x:c r="F89" t="n">
        <x:v>39</x:v>
      </x:c>
      <x:c r="G89" t="n">
        <x:v>93</x:v>
      </x:c>
      <x:c r="H89" s="22" t="n">
        <x:v>97.5</x:v>
      </x:c>
      <x:c r="I89" t="n">
        <x:v>57</x:v>
      </x:c>
      <x:c r="J89" t="n">
        <x:v>57</x:v>
      </x:c>
    </x:row>
    <x:row r="90" ht="18" customHeight="1">
      <x:c r="A90" t="str">
        <x:v>46-520-1819</x:v>
      </x:c>
      <x:c r="B90" t="str">
        <x:v>Short Grain Rice</x:v>
      </x:c>
      <x:c r="C90" t="str">
        <x:v>Katz</x:v>
      </x:c>
      <x:c r="D90" t="str">
        <x:v>Grains &amp; Pulses</x:v>
      </x:c>
      <x:c r="E90" t="str">
        <x:v>Backordered</x:v>
      </x:c>
      <x:c r="F90" t="n">
        <x:v>41</x:v>
      </x:c>
      <x:c r="G90" t="n">
        <x:v>36</x:v>
      </x:c>
      <x:c r="H90" s="22" t="n">
        <x:v>184.5</x:v>
      </x:c>
      <x:c r="I90" t="n">
        <x:v>78</x:v>
      </x:c>
      <x:c r="J90" t="n">
        <x:v>0</x:v>
      </x:c>
    </x:row>
    <x:row r="91" ht="18" customHeight="1">
      <x:c r="A91" t="str">
        <x:v>87-791-5803</x:v>
      </x:c>
      <x:c r="B91" t="str">
        <x:v>Tuna</x:v>
      </x:c>
      <x:c r="C91" t="str">
        <x:v>Meemm</x:v>
      </x:c>
      <x:c r="D91" t="str">
        <x:v>Seafood</x:v>
      </x:c>
      <x:c r="E91" t="str">
        <x:v>Active</x:v>
      </x:c>
      <x:c r="F91" t="n">
        <x:v>25</x:v>
      </x:c>
      <x:c r="G91" t="n">
        <x:v>44</x:v>
      </x:c>
      <x:c r="H91" s="22" t="n">
        <x:v>450</x:v>
      </x:c>
      <x:c r="I91" t="n">
        <x:v>96</x:v>
      </x:c>
      <x:c r="J91" t="n">
        <x:v>96</x:v>
      </x:c>
    </x:row>
    <x:row r="92" ht="18" customHeight="1">
      <x:c r="A92" t="str">
        <x:v>71-436-5841</x:v>
      </x:c>
      <x:c r="B92" t="str">
        <x:v>Cauliflower</x:v>
      </x:c>
      <x:c r="C92" t="str">
        <x:v>Dynabox</x:v>
      </x:c>
      <x:c r="D92" t="str">
        <x:v>Fruits &amp; Vegetables</x:v>
      </x:c>
      <x:c r="E92" t="str">
        <x:v>Discontinued</x:v>
      </x:c>
      <x:c r="F92" t="n">
        <x:v>87</x:v>
      </x:c>
      <x:c r="G92" t="n">
        <x:v>91</x:v>
      </x:c>
      <x:c r="H92" s="22" t="n">
        <x:v>217.5</x:v>
      </x:c>
      <x:c r="I92" t="n">
        <x:v>94</x:v>
      </x:c>
      <x:c r="J92" t="n">
        <x:v>0</x:v>
      </x:c>
    </x:row>
    <x:row r="93" ht="18" customHeight="1">
      <x:c r="A93" t="str">
        <x:v>07-679-1199</x:v>
      </x:c>
      <x:c r="B93" t="str">
        <x:v>Onion</x:v>
      </x:c>
      <x:c r="C93" t="str">
        <x:v>Wikizz</x:v>
      </x:c>
      <x:c r="D93" t="str">
        <x:v>Fruits &amp; Vegetables</x:v>
      </x:c>
      <x:c r="E93" t="str">
        <x:v>Active</x:v>
      </x:c>
      <x:c r="F93" t="n">
        <x:v>20</x:v>
      </x:c>
      <x:c r="G93" t="n">
        <x:v>65</x:v>
      </x:c>
      <x:c r="H93" s="22" t="n">
        <x:v>40</x:v>
      </x:c>
      <x:c r="I93" t="n">
        <x:v>61</x:v>
      </x:c>
      <x:c r="J93" t="n">
        <x:v>61</x:v>
      </x:c>
    </x:row>
    <x:row r="94" ht="18" customHeight="1">
      <x:c r="A94" t="str">
        <x:v>48-957-8596</x:v>
      </x:c>
      <x:c r="B94" t="str">
        <x:v>Banana</x:v>
      </x:c>
      <x:c r="C94" t="str">
        <x:v>Youfeed</x:v>
      </x:c>
      <x:c r="D94" t="str">
        <x:v>Fruits &amp; Vegetables</x:v>
      </x:c>
      <x:c r="E94" t="str">
        <x:v>Discontinued</x:v>
      </x:c>
      <x:c r="F94" t="n">
        <x:v>95</x:v>
      </x:c>
      <x:c r="G94" t="n">
        <x:v>25</x:v>
      </x:c>
      <x:c r="H94" s="22" t="n">
        <x:v>5112.9</x:v>
      </x:c>
      <x:c r="I94" t="n">
        <x:v>91</x:v>
      </x:c>
      <x:c r="J94" t="n">
        <x:v>0</x:v>
      </x:c>
    </x:row>
    <x:row r="95" ht="18" customHeight="1">
      <x:c r="A95" t="str">
        <x:v>20-325-1965</x:v>
      </x:c>
      <x:c r="B95" t="str">
        <x:v>Coconut</x:v>
      </x:c>
      <x:c r="C95" t="str">
        <x:v>Katz</x:v>
      </x:c>
      <x:c r="D95" t="str">
        <x:v>Fruits &amp; Vegetables</x:v>
      </x:c>
      <x:c r="E95" t="str">
        <x:v>Backordered</x:v>
      </x:c>
      <x:c r="F95" t="n">
        <x:v>56</x:v>
      </x:c>
      <x:c r="G95" t="n">
        <x:v>75</x:v>
      </x:c>
      <x:c r="H95" s="22" t="n">
        <x:v>280</x:v>
      </x:c>
      <x:c r="I95" t="n">
        <x:v>13</x:v>
      </x:c>
      <x:c r="J95" t="n">
        <x:v>19</x:v>
      </x:c>
    </x:row>
    <x:row r="96" ht="18" customHeight="1">
      <x:c r="A96" t="str">
        <x:v>51-069-0489</x:v>
      </x:c>
      <x:c r="B96" t="str">
        <x:v>Bread Flour</x:v>
      </x:c>
      <x:c r="C96" t="str">
        <x:v>Oloo</x:v>
      </x:c>
      <x:c r="D96" t="str">
        <x:v>Grains &amp; Pulses</x:v>
      </x:c>
      <x:c r="E96" t="str">
        <x:v>Discontinued</x:v>
      </x:c>
      <x:c r="F96" t="n">
        <x:v>96</x:v>
      </x:c>
      <x:c r="G96" t="n">
        <x:v>83</x:v>
      </x:c>
      <x:c r="H96" s="22" t="n">
        <x:v>144</x:v>
      </x:c>
      <x:c r="I96" t="n">
        <x:v>50</x:v>
      </x:c>
      <x:c r="J96" t="n">
        <x:v>0</x:v>
      </x:c>
    </x:row>
    <x:row r="97" ht="18" customHeight="1">
      <x:c r="A97" t="str">
        <x:v>17-493-4579</x:v>
      </x:c>
      <x:c r="B97" t="str">
        <x:v>Almond Flour</x:v>
      </x:c>
      <x:c r="C97" t="str">
        <x:v>Trudoo</x:v>
      </x:c>
      <x:c r="D97" t="str">
        <x:v>Grains &amp; Pulses</x:v>
      </x:c>
      <x:c r="E97" t="str">
        <x:v>Active</x:v>
      </x:c>
      <x:c r="F97" t="n">
        <x:v>76</x:v>
      </x:c>
      <x:c r="G97" t="n">
        <x:v>8</x:v>
      </x:c>
      <x:c r="H97" s="22" t="n">
        <x:v>722</x:v>
      </x:c>
      <x:c r="I97" t="n">
        <x:v>2</x:v>
      </x:c>
      <x:c r="J97" t="n">
        <x:v>0</x:v>
      </x:c>
    </x:row>
    <x:row r="98" ht="18" customHeight="1">
      <x:c r="A98" t="str">
        <x:v>46-622-3434</x:v>
      </x:c>
      <x:c r="B98" t="str">
        <x:v>Jasmine Rice</x:v>
      </x:c>
      <x:c r="C98" t="str">
        <x:v>Topdrive</x:v>
      </x:c>
      <x:c r="D98" t="str">
        <x:v>Grains &amp; Pulses</x:v>
      </x:c>
      <x:c r="E98" t="str">
        <x:v>Discontinued</x:v>
      </x:c>
      <x:c r="F98" t="n">
        <x:v>17</x:v>
      </x:c>
      <x:c r="G98" t="n">
        <x:v>19</x:v>
      </x:c>
      <x:c r="H98" s="22" t="n">
        <x:v>80.75</x:v>
      </x:c>
      <x:c r="I98" t="n">
        <x:v>74</x:v>
      </x:c>
      <x:c r="J98" t="n">
        <x:v>0</x:v>
      </x:c>
    </x:row>
    <x:row r="99" ht="18" customHeight="1">
      <x:c r="A99" t="str">
        <x:v>05-899-1428</x:v>
      </x:c>
      <x:c r="B99" t="str">
        <x:v>Avocado Oil</x:v>
      </x:c>
      <x:c r="C99" t="str">
        <x:v>Dabjam</x:v>
      </x:c>
      <x:c r="D99" t="str">
        <x:v>Oils &amp; Fats</x:v>
      </x:c>
      <x:c r="E99" t="str">
        <x:v>Active</x:v>
      </x:c>
      <x:c r="F99" t="n">
        <x:v>14</x:v>
      </x:c>
      <x:c r="G99" t="n">
        <x:v>75</x:v>
      </x:c>
      <x:c r="H99" s="22" t="n">
        <x:v>140</x:v>
      </x:c>
      <x:c r="I99" t="n">
        <x:v>10</x:v>
      </x:c>
      <x:c r="J99" t="n">
        <x:v>61</x:v>
      </x:c>
    </x:row>
    <x:row r="100" ht="18" customHeight="1">
      <x:c r="A100" t="str">
        <x:v>60-632-8752</x:v>
      </x:c>
      <x:c r="B100" t="str">
        <x:v>Chocolate Biscuit</x:v>
      </x:c>
      <x:c r="C100" t="str">
        <x:v>Trunyx</x:v>
      </x:c>
      <x:c r="D100" t="str">
        <x:v>Bakery</x:v>
      </x:c>
      <x:c r="E100" t="str">
        <x:v>Active</x:v>
      </x:c>
      <x:c r="F100" t="n">
        <x:v>96</x:v>
      </x:c>
      <x:c r="G100" t="n">
        <x:v>16</x:v>
      </x:c>
      <x:c r="H100" s="22" t="n">
        <x:v>480</x:v>
      </x:c>
      <x:c r="I100" t="n">
        <x:v>48</x:v>
      </x:c>
      <x:c r="J100" t="n">
        <x:v>0</x:v>
      </x:c>
    </x:row>
    <x:row r="101" ht="18" customHeight="1">
      <x:c r="A101" t="str">
        <x:v>65-854-9364</x:v>
      </x:c>
      <x:c r="B101" t="str">
        <x:v>Black Rice</x:v>
      </x:c>
      <x:c r="C101" t="str">
        <x:v>BlogXS</x:v>
      </x:c>
      <x:c r="D101" t="str">
        <x:v>Grains &amp; Pulses</x:v>
      </x:c>
      <x:c r="E101" t="str">
        <x:v>Backordered</x:v>
      </x:c>
      <x:c r="F101" t="n">
        <x:v>30</x:v>
      </x:c>
      <x:c r="G101" t="n">
        <x:v>34</x:v>
      </x:c>
      <x:c r="H101" s="22" t="n">
        <x:v>189</x:v>
      </x:c>
      <x:c r="I101" t="n">
        <x:v>96</x:v>
      </x:c>
      <x:c r="J101" t="n">
        <x:v>96</x:v>
      </x:c>
    </x:row>
    <x:row r="102" ht="18" customHeight="1">
      <x:c r="A102" t="str">
        <x:v>66-268-8345</x:v>
      </x:c>
      <x:c r="B102" t="str">
        <x:v>Greek Yogurt</x:v>
      </x:c>
      <x:c r="C102" t="str">
        <x:v>Thoughtstorm</x:v>
      </x:c>
      <x:c r="D102" t="str">
        <x:v>Dairy</x:v>
      </x:c>
      <x:c r="E102" t="str">
        <x:v>Active</x:v>
      </x:c>
      <x:c r="F102" t="n">
        <x:v>91</x:v>
      </x:c>
      <x:c r="G102" t="n">
        <x:v>84</x:v>
      </x:c>
      <x:c r="H102" s="22" t="n">
        <x:v>273</x:v>
      </x:c>
      <x:c r="I102" t="n">
        <x:v>11</x:v>
      </x:c>
      <x:c r="J102" t="n">
        <x:v>0</x:v>
      </x:c>
    </x:row>
    <x:row r="103" ht="18" customHeight="1">
      <x:c r="A103" t="str">
        <x:v>13-673-7016</x:v>
      </x:c>
      <x:c r="B103" t="str">
        <x:v>Peach</x:v>
      </x:c>
      <x:c r="C103" t="str">
        <x:v>Youfeed</x:v>
      </x:c>
      <x:c r="D103" t="str">
        <x:v>Fruits &amp; Vegetables</x:v>
      </x:c>
      <x:c r="E103" t="str">
        <x:v>Backordered</x:v>
      </x:c>
      <x:c r="F103" t="n">
        <x:v>47</x:v>
      </x:c>
      <x:c r="G103" t="n">
        <x:v>67</x:v>
      </x:c>
      <x:c r="H103" s="22" t="n">
        <x:v>188</x:v>
      </x:c>
      <x:c r="I103" t="n">
        <x:v>57</x:v>
      </x:c>
      <x:c r="J103" t="n">
        <x:v>57</x:v>
      </x:c>
    </x:row>
    <x:row r="104" ht="18" customHeight="1">
      <x:c r="A104" t="str">
        <x:v>20-054-3716</x:v>
      </x:c>
      <x:c r="B104" t="str">
        <x:v>Chocolate Biscuit</x:v>
      </x:c>
      <x:c r="C104" t="str">
        <x:v>JumpXS</x:v>
      </x:c>
      <x:c r="D104" t="str">
        <x:v>Bakery</x:v>
      </x:c>
      <x:c r="E104" t="str">
        <x:v>Discontinued</x:v>
      </x:c>
      <x:c r="F104" t="n">
        <x:v>11</x:v>
      </x:c>
      <x:c r="G104" t="n">
        <x:v>6</x:v>
      </x:c>
      <x:c r="H104" s="22" t="n">
        <x:v>55</x:v>
      </x:c>
      <x:c r="I104" t="n">
        <x:v>100</x:v>
      </x:c>
      <x:c r="J104" t="n">
        <x:v>0</x:v>
      </x:c>
    </x:row>
    <x:row r="105" ht="18" customHeight="1">
      <x:c r="A105" t="str">
        <x:v>11-073-0189</x:v>
      </x:c>
      <x:c r="B105" t="str">
        <x:v>Plum</x:v>
      </x:c>
      <x:c r="C105" t="str">
        <x:v>Voomm</x:v>
      </x:c>
      <x:c r="D105" t="str">
        <x:v>Fruits &amp; Vegetables</x:v>
      </x:c>
      <x:c r="E105" t="str">
        <x:v>Active</x:v>
      </x:c>
      <x:c r="F105" t="n">
        <x:v>95</x:v>
      </x:c>
      <x:c r="G105" t="n">
        <x:v>50</x:v>
      </x:c>
      <x:c r="H105" s="22" t="n">
        <x:v>380</x:v>
      </x:c>
      <x:c r="I105" t="n">
        <x:v>76</x:v>
      </x:c>
      <x:c r="J105" t="n">
        <x:v>0</x:v>
      </x:c>
    </x:row>
    <x:row r="106" ht="18" customHeight="1">
      <x:c r="A106" t="str">
        <x:v>40-793-7235</x:v>
      </x:c>
      <x:c r="B106" t="str">
        <x:v>Sour Cream</x:v>
      </x:c>
      <x:c r="C106" t="str">
        <x:v>Chatterbridge</x:v>
      </x:c>
      <x:c r="D106" t="str">
        <x:v>Dairy</x:v>
      </x:c>
      <x:c r="E106" t="str">
        <x:v>Discontinued</x:v>
      </x:c>
      <x:c r="F106" t="n">
        <x:v>92</x:v>
      </x:c>
      <x:c r="G106" t="n">
        <x:v>67</x:v>
      </x:c>
      <x:c r="H106" s="22" t="n">
        <x:v>368</x:v>
      </x:c>
      <x:c r="I106" t="n">
        <x:v>51</x:v>
      </x:c>
      <x:c r="J106" t="n">
        <x:v>0</x:v>
      </x:c>
    </x:row>
    <x:row r="107" ht="18" customHeight="1">
      <x:c r="A107" t="str">
        <x:v>56-894-3733</x:v>
      </x:c>
      <x:c r="B107" t="str">
        <x:v>Yogurt</x:v>
      </x:c>
      <x:c r="C107" t="str">
        <x:v>Skinte</x:v>
      </x:c>
      <x:c r="D107" t="str">
        <x:v>Dairy</x:v>
      </x:c>
      <x:c r="E107" t="str">
        <x:v>Backordered</x:v>
      </x:c>
      <x:c r="F107" t="n">
        <x:v>85</x:v>
      </x:c>
      <x:c r="G107" t="n">
        <x:v>83</x:v>
      </x:c>
      <x:c r="H107" s="22" t="n">
        <x:v>148.75</x:v>
      </x:c>
      <x:c r="I107" t="n">
        <x:v>13</x:v>
      </x:c>
      <x:c r="J107" t="n">
        <x:v>0</x:v>
      </x:c>
    </x:row>
    <x:row r="108" ht="18" customHeight="1">
      <x:c r="A108" t="str">
        <x:v>83-117-7658</x:v>
      </x:c>
      <x:c r="B108" t="str">
        <x:v>Asparagus</x:v>
      </x:c>
      <x:c r="C108" t="str">
        <x:v>Yabox</x:v>
      </x:c>
      <x:c r="D108" t="str">
        <x:v>Fruits &amp; Vegetables</x:v>
      </x:c>
      <x:c r="E108" t="str">
        <x:v>Backordered</x:v>
      </x:c>
      <x:c r="F108" t="n">
        <x:v>92</x:v>
      </x:c>
      <x:c r="G108" t="n">
        <x:v>3</x:v>
      </x:c>
      <x:c r="H108" s="22" t="n">
        <x:v>460</x:v>
      </x:c>
      <x:c r="I108" t="n">
        <x:v>81</x:v>
      </x:c>
      <x:c r="J108" t="n">
        <x:v>0</x:v>
      </x:c>
    </x:row>
    <x:row r="109" ht="18" customHeight="1">
      <x:c r="A109" t="str">
        <x:v>72-989-2512</x:v>
      </x:c>
      <x:c r="B109" t="str">
        <x:v>Mushrooms</x:v>
      </x:c>
      <x:c r="C109" t="str">
        <x:v>Yakijo</x:v>
      </x:c>
      <x:c r="D109" t="str">
        <x:v>Fruits &amp; Vegetables</x:v>
      </x:c>
      <x:c r="E109" t="str">
        <x:v>Backordered</x:v>
      </x:c>
      <x:c r="F109" t="n">
        <x:v>24</x:v>
      </x:c>
      <x:c r="G109" t="n">
        <x:v>21</x:v>
      </x:c>
      <x:c r="H109" s="22" t="n">
        <x:v>144</x:v>
      </x:c>
      <x:c r="I109" t="n">
        <x:v>4</x:v>
      </x:c>
      <x:c r="J109" t="n">
        <x:v>0</x:v>
      </x:c>
    </x:row>
    <x:row r="110" ht="18" customHeight="1">
      <x:c r="A110" t="str">
        <x:v>58-229-1358</x:v>
      </x:c>
      <x:c r="B110" t="str">
        <x:v>Cream</x:v>
      </x:c>
      <x:c r="C110" t="str">
        <x:v>Bubblebox</x:v>
      </x:c>
      <x:c r="D110" t="str">
        <x:v>Dairy</x:v>
      </x:c>
      <x:c r="E110" t="str">
        <x:v>Backordered</x:v>
      </x:c>
      <x:c r="F110" t="n">
        <x:v>21</x:v>
      </x:c>
      <x:c r="G110" t="n">
        <x:v>24</x:v>
      </x:c>
      <x:c r="H110" s="22" t="n">
        <x:v>49.35</x:v>
      </x:c>
      <x:c r="I110" t="n">
        <x:v>2</x:v>
      </x:c>
      <x:c r="J110" t="n">
        <x:v>3</x:v>
      </x:c>
    </x:row>
    <x:row r="111" ht="18" customHeight="1">
      <x:c r="A111" t="str">
        <x:v>28-275-5901</x:v>
      </x:c>
      <x:c r="B111" t="str">
        <x:v>Anchovies</x:v>
      </x:c>
      <x:c r="C111" t="str">
        <x:v>Jatri</x:v>
      </x:c>
      <x:c r="D111" t="str">
        <x:v>Seafood</x:v>
      </x:c>
      <x:c r="E111" t="str">
        <x:v>Active</x:v>
      </x:c>
      <x:c r="F111" t="n">
        <x:v>64</x:v>
      </x:c>
      <x:c r="G111" t="n">
        <x:v>1</x:v>
      </x:c>
      <x:c r="H111" s="22" t="n">
        <x:v>640</x:v>
      </x:c>
      <x:c r="I111" t="n">
        <x:v>92</x:v>
      </x:c>
      <x:c r="J111" t="n">
        <x:v>0</x:v>
      </x:c>
    </x:row>
    <x:row r="112" ht="18" customHeight="1">
      <x:c r="A112" t="str">
        <x:v>85-806-8672</x:v>
      </x:c>
      <x:c r="B112" t="str">
        <x:v>Black Tea</x:v>
      </x:c>
      <x:c r="C112" t="str">
        <x:v>Kare</x:v>
      </x:c>
      <x:c r="D112" t="str">
        <x:v>Beverages</x:v>
      </x:c>
      <x:c r="E112" t="str">
        <x:v>Active</x:v>
      </x:c>
      <x:c r="F112" t="n">
        <x:v>35</x:v>
      </x:c>
      <x:c r="G112" t="n">
        <x:v>88</x:v>
      </x:c>
      <x:c r="H112" s="22" t="n">
        <x:v>164.5</x:v>
      </x:c>
      <x:c r="I112" t="n">
        <x:v>87</x:v>
      </x:c>
      <x:c r="J112" t="n">
        <x:v>87</x:v>
      </x:c>
    </x:row>
    <x:row r="113" ht="18" customHeight="1">
      <x:c r="A113" t="str">
        <x:v>65-718-0492</x:v>
      </x:c>
      <x:c r="B113" t="str">
        <x:v>Olive Oil</x:v>
      </x:c>
      <x:c r="C113" t="str">
        <x:v>Midel</x:v>
      </x:c>
      <x:c r="D113" t="str">
        <x:v>Oils &amp; Fats</x:v>
      </x:c>
      <x:c r="E113" t="str">
        <x:v>Active</x:v>
      </x:c>
      <x:c r="F113" t="n">
        <x:v>100</x:v>
      </x:c>
      <x:c r="G113" t="n">
        <x:v>92</x:v>
      </x:c>
      <x:c r="H113" s="22" t="n">
        <x:v>600</x:v>
      </x:c>
      <x:c r="I113" t="n">
        <x:v>26</x:v>
      </x:c>
      <x:c r="J113" t="n">
        <x:v>0</x:v>
      </x:c>
    </x:row>
    <x:row r="114" ht="18" customHeight="1">
      <x:c r="A114" t="str">
        <x:v>86-482-6451</x:v>
      </x:c>
      <x:c r="B114" t="str">
        <x:v>White Tea</x:v>
      </x:c>
      <x:c r="C114" t="str">
        <x:v>Brightbean</x:v>
      </x:c>
      <x:c r="D114" t="str">
        <x:v>Beverages</x:v>
      </x:c>
      <x:c r="E114" t="str">
        <x:v>Backordered</x:v>
      </x:c>
      <x:c r="F114" t="n">
        <x:v>91</x:v>
      </x:c>
      <x:c r="G114" t="n">
        <x:v>78</x:v>
      </x:c>
      <x:c r="H114" s="22" t="n">
        <x:v>2275</x:v>
      </x:c>
      <x:c r="I114" t="n">
        <x:v>61</x:v>
      </x:c>
      <x:c r="J114" t="n">
        <x:v>0</x:v>
      </x:c>
    </x:row>
    <x:row r="115" ht="18" customHeight="1">
      <x:c r="A115" t="str">
        <x:v>48-289-0604</x:v>
      </x:c>
      <x:c r="B115" t="str">
        <x:v>Vegetable Oil</x:v>
      </x:c>
      <x:c r="C115" t="str">
        <x:v>Browseblab</x:v>
      </x:c>
      <x:c r="D115" t="str">
        <x:v>Oils &amp; Fats</x:v>
      </x:c>
      <x:c r="E115" t="str">
        <x:v>Active</x:v>
      </x:c>
      <x:c r="F115" t="n">
        <x:v>18</x:v>
      </x:c>
      <x:c r="G115" t="n">
        <x:v>72</x:v>
      </x:c>
      <x:c r="H115" s="22" t="n">
        <x:v>36</x:v>
      </x:c>
      <x:c r="I115" t="n">
        <x:v>71</x:v>
      </x:c>
      <x:c r="J115" t="n">
        <x:v>71</x:v>
      </x:c>
    </x:row>
    <x:row r="116" ht="18" customHeight="1">
      <x:c r="A116" t="str">
        <x:v>21-809-7115</x:v>
      </x:c>
      <x:c r="B116" t="str">
        <x:v>White Rice</x:v>
      </x:c>
      <x:c r="C116" t="str">
        <x:v>Tagcat</x:v>
      </x:c>
      <x:c r="D116" t="str">
        <x:v>Grains &amp; Pulses</x:v>
      </x:c>
      <x:c r="E116" t="str">
        <x:v>Discontinued</x:v>
      </x:c>
      <x:c r="F116" t="n">
        <x:v>80</x:v>
      </x:c>
      <x:c r="G116" t="n">
        <x:v>86</x:v>
      </x:c>
      <x:c r="H116" s="22" t="n">
        <x:v>144</x:v>
      </x:c>
      <x:c r="I116" t="n">
        <x:v>50</x:v>
      </x:c>
      <x:c r="J116" t="n">
        <x:v>0</x:v>
      </x:c>
    </x:row>
    <x:row r="117" ht="18" customHeight="1">
      <x:c r="A117" t="str">
        <x:v>84-269-9130</x:v>
      </x:c>
      <x:c r="B117" t="str">
        <x:v>Long Grain Rice</x:v>
      </x:c>
      <x:c r="C117" t="str">
        <x:v>Flashspan</x:v>
      </x:c>
      <x:c r="D117" t="str">
        <x:v>Grains &amp; Pulses</x:v>
      </x:c>
      <x:c r="E117" t="str">
        <x:v>Discontinued</x:v>
      </x:c>
      <x:c r="F117" t="n">
        <x:v>11</x:v>
      </x:c>
      <x:c r="G117" t="n">
        <x:v>10</x:v>
      </x:c>
      <x:c r="H117" s="22" t="n">
        <x:v>16.5</x:v>
      </x:c>
      <x:c r="I117" t="n">
        <x:v>80</x:v>
      </x:c>
      <x:c r="J117" t="n">
        <x:v>0</x:v>
      </x:c>
    </x:row>
    <x:row r="118" ht="18" customHeight="1">
      <x:c r="A118" t="str">
        <x:v>54-758-4622</x:v>
      </x:c>
      <x:c r="B118" t="str">
        <x:v>Chocolate Biscuit</x:v>
      </x:c>
      <x:c r="C118" t="str">
        <x:v>Devcast</x:v>
      </x:c>
      <x:c r="D118" t="str">
        <x:v>Bakery</x:v>
      </x:c>
      <x:c r="E118" t="str">
        <x:v>Backordered</x:v>
      </x:c>
      <x:c r="F118" t="n">
        <x:v>99</x:v>
      </x:c>
      <x:c r="G118" t="n">
        <x:v>3</x:v>
      </x:c>
      <x:c r="H118" s="22" t="n">
        <x:v>495</x:v>
      </x:c>
      <x:c r="I118" t="n">
        <x:v>79</x:v>
      </x:c>
      <x:c r="J118" t="n">
        <x:v>0</x:v>
      </x:c>
    </x:row>
    <x:row r="119" ht="18" customHeight="1">
      <x:c r="A119" t="str">
        <x:v>65-867-4029</x:v>
      </x:c>
      <x:c r="B119" t="str">
        <x:v>Peach</x:v>
      </x:c>
      <x:c r="C119" t="str">
        <x:v>Livepath</x:v>
      </x:c>
      <x:c r="D119" t="str">
        <x:v>Fruits &amp; Vegetables</x:v>
      </x:c>
      <x:c r="E119" t="str">
        <x:v>Active</x:v>
      </x:c>
      <x:c r="F119" t="n">
        <x:v>40</x:v>
      </x:c>
      <x:c r="G119" t="n">
        <x:v>83</x:v>
      </x:c>
      <x:c r="H119" s="22" t="n">
        <x:v>160</x:v>
      </x:c>
      <x:c r="I119" t="n">
        <x:v>50</x:v>
      </x:c>
      <x:c r="J119" t="n">
        <x:v>50</x:v>
      </x:c>
    </x:row>
    <x:row r="120" ht="18" customHeight="1">
      <x:c r="A120" t="str">
        <x:v>24-310-9184</x:v>
      </x:c>
      <x:c r="B120" t="str">
        <x:v>Rye Bread</x:v>
      </x:c>
      <x:c r="C120" t="str">
        <x:v>Brainlounge</x:v>
      </x:c>
      <x:c r="D120" t="str">
        <x:v>Bakery</x:v>
      </x:c>
      <x:c r="E120" t="str">
        <x:v>Backordered</x:v>
      </x:c>
      <x:c r="F120" t="n">
        <x:v>69</x:v>
      </x:c>
      <x:c r="G120" t="n">
        <x:v>65</x:v>
      </x:c>
      <x:c r="H120" s="22" t="n">
        <x:v>207</x:v>
      </x:c>
      <x:c r="I120" t="n">
        <x:v>91</x:v>
      </x:c>
      <x:c r="J120" t="n">
        <x:v>0</x:v>
      </x:c>
    </x:row>
    <x:row r="121" ht="18" customHeight="1">
      <x:c r="A121" t="str">
        <x:v>53-930-2215</x:v>
      </x:c>
      <x:c r="B121" t="str">
        <x:v>Egg (Goose)</x:v>
      </x:c>
      <x:c r="C121" t="str">
        <x:v>Gabvine</x:v>
      </x:c>
      <x:c r="D121" t="str">
        <x:v>Dairy</x:v>
      </x:c>
      <x:c r="E121" t="str">
        <x:v>Active</x:v>
      </x:c>
      <x:c r="F121" t="n">
        <x:v>60</x:v>
      </x:c>
      <x:c r="G121" t="n">
        <x:v>43</x:v>
      </x:c>
      <x:c r="H121" s="22" t="n">
        <x:v>150</x:v>
      </x:c>
      <x:c r="I121" t="n">
        <x:v>32</x:v>
      </x:c>
      <x:c r="J121" t="n">
        <x:v>0</x:v>
      </x:c>
    </x:row>
    <x:row r="122" ht="18" customHeight="1">
      <x:c r="A122" t="str">
        <x:v>94-598-3383</x:v>
      </x:c>
      <x:c r="B122" t="str">
        <x:v>Brown Rice</x:v>
      </x:c>
      <x:c r="C122" t="str">
        <x:v>Viva</x:v>
      </x:c>
      <x:c r="D122" t="str">
        <x:v>Grains &amp; Pulses</x:v>
      </x:c>
      <x:c r="E122" t="str">
        <x:v>Discontinued</x:v>
      </x:c>
      <x:c r="F122" t="n">
        <x:v>79</x:v>
      </x:c>
      <x:c r="G122" t="n">
        <x:v>38</x:v>
      </x:c>
      <x:c r="H122" s="22" t="n">
        <x:v>197.5</x:v>
      </x:c>
      <x:c r="I122" t="n">
        <x:v>67</x:v>
      </x:c>
      <x:c r="J122" t="n">
        <x:v>0</x:v>
      </x:c>
    </x:row>
    <x:row r="123" ht="18" customHeight="1">
      <x:c r="A123" t="str">
        <x:v>83-625-3618</x:v>
      </x:c>
      <x:c r="B123" t="str">
        <x:v>Asparagus</x:v>
      </x:c>
      <x:c r="C123" t="str">
        <x:v>Realmix</x:v>
      </x:c>
      <x:c r="D123" t="str">
        <x:v>Fruits &amp; Vegetables</x:v>
      </x:c>
      <x:c r="E123" t="str">
        <x:v>Backordered</x:v>
      </x:c>
      <x:c r="F123" t="n">
        <x:v>68</x:v>
      </x:c>
      <x:c r="G123" t="n">
        <x:v>12</x:v>
      </x:c>
      <x:c r="H123" s="22" t="n">
        <x:v>340</x:v>
      </x:c>
      <x:c r="I123" t="n">
        <x:v>73</x:v>
      </x:c>
      <x:c r="J123" t="n">
        <x:v>0</x:v>
      </x:c>
    </x:row>
    <x:row r="124" ht="18" customHeight="1">
      <x:c r="A124" t="str">
        <x:v>13-844-2178</x:v>
      </x:c>
      <x:c r="B124" t="str">
        <x:v>Sardines</x:v>
      </x:c>
      <x:c r="C124" t="str">
        <x:v>Browsetype</x:v>
      </x:c>
      <x:c r="D124" t="str">
        <x:v>Seafood</x:v>
      </x:c>
      <x:c r="E124" t="str">
        <x:v>Active</x:v>
      </x:c>
      <x:c r="F124" t="n">
        <x:v>44</x:v>
      </x:c>
      <x:c r="G124" t="n">
        <x:v>67</x:v>
      </x:c>
      <x:c r="H124" s="22" t="n">
        <x:v>264</x:v>
      </x:c>
      <x:c r="I124" t="n">
        <x:v>48</x:v>
      </x:c>
      <x:c r="J124" t="n">
        <x:v>48</x:v>
      </x:c>
    </x:row>
    <x:row r="125" ht="18" customHeight="1">
      <x:c r="A125" t="str">
        <x:v>05-184-4175</x:v>
      </x:c>
      <x:c r="B125" t="str">
        <x:v>Black Coffee</x:v>
      </x:c>
      <x:c r="C125" t="str">
        <x:v>Skyndu</x:v>
      </x:c>
      <x:c r="D125" t="str">
        <x:v>Beverages</x:v>
      </x:c>
      <x:c r="E125" t="str">
        <x:v>Active</x:v>
      </x:c>
      <x:c r="F125" t="n">
        <x:v>40</x:v>
      </x:c>
      <x:c r="G125" t="n">
        <x:v>30</x:v>
      </x:c>
      <x:c r="H125" s="22" t="n">
        <x:v>600</x:v>
      </x:c>
      <x:c r="I125" t="n">
        <x:v>60</x:v>
      </x:c>
      <x:c r="J125" t="n">
        <x:v>0</x:v>
      </x:c>
    </x:row>
    <x:row r="126" ht="18" customHeight="1">
      <x:c r="A126" t="str">
        <x:v>89-335-0155</x:v>
      </x:c>
      <x:c r="B126" t="str">
        <x:v>Brown Rice</x:v>
      </x:c>
      <x:c r="C126" t="str">
        <x:v>Fivebridge</x:v>
      </x:c>
      <x:c r="D126" t="str">
        <x:v>Grains &amp; Pulses</x:v>
      </x:c>
      <x:c r="E126" t="str">
        <x:v>Active</x:v>
      </x:c>
      <x:c r="F126" t="n">
        <x:v>46</x:v>
      </x:c>
      <x:c r="G126" t="n">
        <x:v>81</x:v>
      </x:c>
      <x:c r="H126" s="22" t="n">
        <x:v>115</x:v>
      </x:c>
      <x:c r="I126" t="n">
        <x:v>47</x:v>
      </x:c>
      <x:c r="J126" t="n">
        <x:v>47</x:v>
      </x:c>
    </x:row>
    <x:row r="127" ht="18" customHeight="1">
      <x:c r="A127" t="str">
        <x:v>38-417-4656</x:v>
      </x:c>
      <x:c r="B127" t="str">
        <x:v>White Sugar</x:v>
      </x:c>
      <x:c r="C127" t="str">
        <x:v>Dazzlesphere</x:v>
      </x:c>
      <x:c r="D127" t="str">
        <x:v>Grains &amp; Pulses</x:v>
      </x:c>
      <x:c r="E127" t="str">
        <x:v>Backordered</x:v>
      </x:c>
      <x:c r="F127" t="n">
        <x:v>24</x:v>
      </x:c>
      <x:c r="G127" t="n">
        <x:v>69</x:v>
      </x:c>
      <x:c r="H127" s="22" t="n">
        <x:v>48</x:v>
      </x:c>
      <x:c r="I127" t="n">
        <x:v>2</x:v>
      </x:c>
      <x:c r="J127" t="n">
        <x:v>45</x:v>
      </x:c>
    </x:row>
    <x:row r="128" ht="18" customHeight="1">
      <x:c r="A128" t="str">
        <x:v>74-305-1263</x:v>
      </x:c>
      <x:c r="B128" t="str">
        <x:v>Green Coffee</x:v>
      </x:c>
      <x:c r="C128" t="str">
        <x:v>Photobean</x:v>
      </x:c>
      <x:c r="D128" t="str">
        <x:v>Beverages</x:v>
      </x:c>
      <x:c r="E128" t="str">
        <x:v>Active</x:v>
      </x:c>
      <x:c r="F128" t="n">
        <x:v>29</x:v>
      </x:c>
      <x:c r="G128" t="n">
        <x:v>91</x:v>
      </x:c>
      <x:c r="H128" s="22" t="n">
        <x:v>348</x:v>
      </x:c>
      <x:c r="I128" t="n">
        <x:v>48</x:v>
      </x:c>
      <x:c r="J128" t="n">
        <x:v>62</x:v>
      </x:c>
    </x:row>
    <x:row r="129" ht="18" customHeight="1">
      <x:c r="A129" t="str">
        <x:v>02-508-3777</x:v>
      </x:c>
      <x:c r="B129" t="str">
        <x:v>Egg (Quail)</x:v>
      </x:c>
      <x:c r="C129" t="str">
        <x:v>Realpoint</x:v>
      </x:c>
      <x:c r="D129" t="str">
        <x:v>Dairy</x:v>
      </x:c>
      <x:c r="E129" t="str">
        <x:v>Discontinued</x:v>
      </x:c>
      <x:c r="F129" t="n">
        <x:v>97</x:v>
      </x:c>
      <x:c r="G129" t="n">
        <x:v>88</x:v>
      </x:c>
      <x:c r="H129" s="22" t="n">
        <x:v>77.6</x:v>
      </x:c>
      <x:c r="I129" t="n">
        <x:v>81</x:v>
      </x:c>
      <x:c r="J129" t="n">
        <x:v>0</x:v>
      </x:c>
    </x:row>
    <x:row r="130" ht="18" customHeight="1">
      <x:c r="A130" t="str">
        <x:v>79-136-9840</x:v>
      </x:c>
      <x:c r="B130" t="str">
        <x:v>Herbal Tea</x:v>
      </x:c>
      <x:c r="C130" t="str">
        <x:v>Pixonyx</x:v>
      </x:c>
      <x:c r="D130" t="str">
        <x:v>Beverages</x:v>
      </x:c>
      <x:c r="E130" t="str">
        <x:v>Discontinued</x:v>
      </x:c>
      <x:c r="F130" t="n">
        <x:v>77</x:v>
      </x:c>
      <x:c r="G130" t="n">
        <x:v>45</x:v>
      </x:c>
      <x:c r="H130" s="22" t="n">
        <x:v>2310</x:v>
      </x:c>
      <x:c r="I130" t="n">
        <x:v>75</x:v>
      </x:c>
      <x:c r="J130" t="n">
        <x:v>0</x:v>
      </x:c>
    </x:row>
    <x:row r="131" ht="18" customHeight="1">
      <x:c r="A131" t="str">
        <x:v>35-299-0889</x:v>
      </x:c>
      <x:c r="B131" t="str">
        <x:v>Coconut Oil</x:v>
      </x:c>
      <x:c r="C131" t="str">
        <x:v>Gevee</x:v>
      </x:c>
      <x:c r="D131" t="str">
        <x:v>Oils &amp; Fats</x:v>
      </x:c>
      <x:c r="E131" t="str">
        <x:v>Discontinued</x:v>
      </x:c>
      <x:c r="F131" t="n">
        <x:v>33</x:v>
      </x:c>
      <x:c r="G131" t="n">
        <x:v>78</x:v>
      </x:c>
      <x:c r="H131" s="22" t="n">
        <x:v>165</x:v>
      </x:c>
      <x:c r="I131" t="n">
        <x:v>79</x:v>
      </x:c>
      <x:c r="J131" t="n">
        <x:v>0</x:v>
      </x:c>
    </x:row>
    <x:row r="132" ht="18" customHeight="1">
      <x:c r="A132" t="str">
        <x:v>41-594-5069</x:v>
      </x:c>
      <x:c r="B132" t="str">
        <x:v>Egg (Duck)</x:v>
      </x:c>
      <x:c r="C132" t="str">
        <x:v>Blogtags</x:v>
      </x:c>
      <x:c r="D132" t="str">
        <x:v>Dairy</x:v>
      </x:c>
      <x:c r="E132" t="str">
        <x:v>Discontinued</x:v>
      </x:c>
      <x:c r="F132" t="n">
        <x:v>77</x:v>
      </x:c>
      <x:c r="G132" t="n">
        <x:v>1</x:v>
      </x:c>
      <x:c r="H132" s="22" t="n">
        <x:v>77</x:v>
      </x:c>
      <x:c r="I132" t="n">
        <x:v>41</x:v>
      </x:c>
      <x:c r="J132" t="n">
        <x:v>0</x:v>
      </x:c>
    </x:row>
    <x:row r="133" ht="18" customHeight="1">
      <x:c r="A133" t="str">
        <x:v>83-553-9523</x:v>
      </x:c>
      <x:c r="B133" t="str">
        <x:v>Buttermilk</x:v>
      </x:c>
      <x:c r="C133" t="str">
        <x:v>Zoombox</x:v>
      </x:c>
      <x:c r="D133" t="str">
        <x:v>Dairy</x:v>
      </x:c>
      <x:c r="E133" t="str">
        <x:v>Active</x:v>
      </x:c>
      <x:c r="F133" t="n">
        <x:v>28</x:v>
      </x:c>
      <x:c r="G133" t="n">
        <x:v>90</x:v>
      </x:c>
      <x:c r="H133" s="22" t="n">
        <x:v>68.6</x:v>
      </x:c>
      <x:c r="I133" t="n">
        <x:v>70</x:v>
      </x:c>
      <x:c r="J133" t="n">
        <x:v>70</x:v>
      </x:c>
    </x:row>
    <x:row r="134" ht="18" customHeight="1">
      <x:c r="A134" t="str">
        <x:v>44-112-3331</x:v>
      </x:c>
      <x:c r="B134" t="str">
        <x:v>Tuna</x:v>
      </x:c>
      <x:c r="C134" t="str">
        <x:v>Realmix</x:v>
      </x:c>
      <x:c r="D134" t="str">
        <x:v>Seafood</x:v>
      </x:c>
      <x:c r="E134" t="str">
        <x:v>Discontinued</x:v>
      </x:c>
      <x:c r="F134" t="n">
        <x:v>85</x:v>
      </x:c>
      <x:c r="G134" t="n">
        <x:v>17</x:v>
      </x:c>
      <x:c r="H134" s="22" t="n">
        <x:v>1530</x:v>
      </x:c>
      <x:c r="I134" t="n">
        <x:v>96</x:v>
      </x:c>
      <x:c r="J134" t="n">
        <x:v>0</x:v>
      </x:c>
    </x:row>
    <x:row r="135" ht="18" customHeight="1">
      <x:c r="A135" t="str">
        <x:v>93-198-5984</x:v>
      </x:c>
      <x:c r="B135" t="str">
        <x:v>Mango</x:v>
      </x:c>
      <x:c r="C135" t="str">
        <x:v>Skalith</x:v>
      </x:c>
      <x:c r="D135" t="str">
        <x:v>Fruits &amp; Vegetables</x:v>
      </x:c>
      <x:c r="E135" t="str">
        <x:v>Active</x:v>
      </x:c>
      <x:c r="F135" t="n">
        <x:v>73</x:v>
      </x:c>
      <x:c r="G135" t="n">
        <x:v>69</x:v>
      </x:c>
      <x:c r="H135" s="22" t="n">
        <x:v>365</x:v>
      </x:c>
      <x:c r="I135" t="n">
        <x:v>1</x:v>
      </x:c>
      <x:c r="J135" t="n">
        <x:v>0</x:v>
      </x:c>
    </x:row>
    <x:row r="136" ht="18" customHeight="1">
      <x:c r="A136" t="str">
        <x:v>73-874-7534</x:v>
      </x:c>
      <x:c r="B136" t="str">
        <x:v>Pomegranate</x:v>
      </x:c>
      <x:c r="C136" t="str">
        <x:v>Twitterwire</x:v>
      </x:c>
      <x:c r="D136" t="str">
        <x:v>Fruits &amp; Vegetables</x:v>
      </x:c>
      <x:c r="E136" t="str">
        <x:v>Backordered</x:v>
      </x:c>
      <x:c r="F136" t="n">
        <x:v>88</x:v>
      </x:c>
      <x:c r="G136" t="n">
        <x:v>24</x:v>
      </x:c>
      <x:c r="H136" s="22" t="n">
        <x:v>528</x:v>
      </x:c>
      <x:c r="I136" t="n">
        <x:v>44</x:v>
      </x:c>
      <x:c r="J136" t="n">
        <x:v>0</x:v>
      </x:c>
    </x:row>
    <x:row r="137" ht="18" customHeight="1">
      <x:c r="A137" t="str">
        <x:v>18-107-7886</x:v>
      </x:c>
      <x:c r="B137" t="str">
        <x:v>Evaporated Milk</x:v>
      </x:c>
      <x:c r="C137" t="str">
        <x:v>Demivee</x:v>
      </x:c>
      <x:c r="D137" t="str">
        <x:v>Dairy</x:v>
      </x:c>
      <x:c r="E137" t="str">
        <x:v>Active</x:v>
      </x:c>
      <x:c r="F137" t="n">
        <x:v>64</x:v>
      </x:c>
      <x:c r="G137" t="n">
        <x:v>28</x:v>
      </x:c>
      <x:c r="H137" s="22" t="n">
        <x:v>128</x:v>
      </x:c>
      <x:c r="I137" t="n">
        <x:v>35</x:v>
      </x:c>
      <x:c r="J137" t="n">
        <x:v>0</x:v>
      </x:c>
    </x:row>
    <x:row r="138" ht="18" customHeight="1">
      <x:c r="A138" t="str">
        <x:v>63-956-0739</x:v>
      </x:c>
      <x:c r="B138" t="str">
        <x:v>Robusta Coffee</x:v>
      </x:c>
      <x:c r="C138" t="str">
        <x:v>Jetwire</x:v>
      </x:c>
      <x:c r="D138" t="str">
        <x:v>Beverages</x:v>
      </x:c>
      <x:c r="E138" t="str">
        <x:v>Backordered</x:v>
      </x:c>
      <x:c r="F138" t="n">
        <x:v>68</x:v>
      </x:c>
      <x:c r="G138" t="n">
        <x:v>12</x:v>
      </x:c>
      <x:c r="H138" s="22" t="n">
        <x:v>680</x:v>
      </x:c>
      <x:c r="I138" t="n">
        <x:v>42</x:v>
      </x:c>
      <x:c r="J138" t="n">
        <x:v>0</x:v>
      </x:c>
    </x:row>
    <x:row r="139" ht="18" customHeight="1">
      <x:c r="A139" t="str">
        <x:v>26-177-5690</x:v>
      </x:c>
      <x:c r="B139" t="str">
        <x:v>Cucumber</x:v>
      </x:c>
      <x:c r="C139" t="str">
        <x:v>Skinte</x:v>
      </x:c>
      <x:c r="D139" t="str">
        <x:v>Fruits &amp; Vegetables</x:v>
      </x:c>
      <x:c r="E139" t="str">
        <x:v>Discontinued</x:v>
      </x:c>
      <x:c r="F139" t="n">
        <x:v>85</x:v>
      </x:c>
      <x:c r="G139" t="n">
        <x:v>33</x:v>
      </x:c>
      <x:c r="H139" s="22" t="n">
        <x:v>153</x:v>
      </x:c>
      <x:c r="I139" t="n">
        <x:v>50</x:v>
      </x:c>
      <x:c r="J139" t="n">
        <x:v>0</x:v>
      </x:c>
    </x:row>
    <x:row r="140" ht="18" customHeight="1">
      <x:c r="A140" t="str">
        <x:v>47-749-3277</x:v>
      </x:c>
      <x:c r="B140" t="str">
        <x:v>Powdered Sugar</x:v>
      </x:c>
      <x:c r="C140" t="str">
        <x:v>Devbug</x:v>
      </x:c>
      <x:c r="D140" t="str">
        <x:v>Grains &amp; Pulses</x:v>
      </x:c>
      <x:c r="E140" t="str">
        <x:v>Backordered</x:v>
      </x:c>
      <x:c r="F140" t="n">
        <x:v>46</x:v>
      </x:c>
      <x:c r="G140" t="n">
        <x:v>20</x:v>
      </x:c>
      <x:c r="H140" s="22" t="n">
        <x:v>115</x:v>
      </x:c>
      <x:c r="I140" t="n">
        <x:v>30</x:v>
      </x:c>
      <x:c r="J140" t="n">
        <x:v>0</x:v>
      </x:c>
    </x:row>
    <x:row r="141" ht="18" customHeight="1">
      <x:c r="A141" t="str">
        <x:v>57-763-5501</x:v>
      </x:c>
      <x:c r="B141" t="str">
        <x:v>Cod</x:v>
      </x:c>
      <x:c r="C141" t="str">
        <x:v>Kwimbee</x:v>
      </x:c>
      <x:c r="D141" t="str">
        <x:v>Seafood</x:v>
      </x:c>
      <x:c r="E141" t="str">
        <x:v>Discontinued</x:v>
      </x:c>
      <x:c r="F141" t="n">
        <x:v>72</x:v>
      </x:c>
      <x:c r="G141" t="n">
        <x:v>29</x:v>
      </x:c>
      <x:c r="H141" s="22" t="n">
        <x:v>576</x:v>
      </x:c>
      <x:c r="I141" t="n">
        <x:v>10</x:v>
      </x:c>
      <x:c r="J141" t="n">
        <x:v>0</x:v>
      </x:c>
    </x:row>
    <x:row r="142" ht="18" customHeight="1">
      <x:c r="A142" t="str">
        <x:v>90-230-9767</x:v>
      </x:c>
      <x:c r="B142" t="str">
        <x:v>Long Grain Rice</x:v>
      </x:c>
      <x:c r="C142" t="str">
        <x:v>Voonyx</x:v>
      </x:c>
      <x:c r="D142" t="str">
        <x:v>Grains &amp; Pulses</x:v>
      </x:c>
      <x:c r="E142" t="str">
        <x:v>Discontinued</x:v>
      </x:c>
      <x:c r="F142" t="n">
        <x:v>67</x:v>
      </x:c>
      <x:c r="G142" t="n">
        <x:v>88</x:v>
      </x:c>
      <x:c r="H142" s="22" t="n">
        <x:v>100.5</x:v>
      </x:c>
      <x:c r="I142" t="n">
        <x:v>32</x:v>
      </x:c>
      <x:c r="J142" t="n">
        <x:v>0</x:v>
      </x:c>
    </x:row>
    <x:row r="143" ht="18" customHeight="1">
      <x:c r="A143" t="str">
        <x:v>19-214-5762</x:v>
      </x:c>
      <x:c r="B143" t="str">
        <x:v>Pear</x:v>
      </x:c>
      <x:c r="C143" t="str">
        <x:v>Gigashots</x:v>
      </x:c>
      <x:c r="D143" t="str">
        <x:v>Fruits &amp; Vegetables</x:v>
      </x:c>
      <x:c r="E143" t="str">
        <x:v>Backordered</x:v>
      </x:c>
      <x:c r="F143" t="n">
        <x:v>41</x:v>
      </x:c>
      <x:c r="G143" t="n">
        <x:v>52</x:v>
      </x:c>
      <x:c r="H143" s="22" t="n">
        <x:v>184.5</x:v>
      </x:c>
      <x:c r="I143" t="n">
        <x:v>75</x:v>
      </x:c>
      <x:c r="J143" t="n">
        <x:v>75</x:v>
      </x:c>
    </x:row>
    <x:row r="144" ht="18" customHeight="1">
      <x:c r="A144" t="str">
        <x:v>74-642-2435</x:v>
      </x:c>
      <x:c r="B144" t="str">
        <x:v>Cauliflower</x:v>
      </x:c>
      <x:c r="C144" t="str">
        <x:v>Skinix</x:v>
      </x:c>
      <x:c r="D144" t="str">
        <x:v>Fruits &amp; Vegetables</x:v>
      </x:c>
      <x:c r="E144" t="str">
        <x:v>Backordered</x:v>
      </x:c>
      <x:c r="F144" t="n">
        <x:v>66</x:v>
      </x:c>
      <x:c r="G144" t="n">
        <x:v>31</x:v>
      </x:c>
      <x:c r="H144" s="22" t="n">
        <x:v>165</x:v>
      </x:c>
      <x:c r="I144" t="n">
        <x:v>18</x:v>
      </x:c>
      <x:c r="J144" t="n">
        <x:v>0</x:v>
      </x:c>
    </x:row>
    <x:row r="145" ht="18" customHeight="1">
      <x:c r="A145" t="str">
        <x:v>47-221-3391</x:v>
      </x:c>
      <x:c r="B145" t="str">
        <x:v>Black Coffee</x:v>
      </x:c>
      <x:c r="C145" t="str">
        <x:v>Digitube</x:v>
      </x:c>
      <x:c r="D145" t="str">
        <x:v>Beverages</x:v>
      </x:c>
      <x:c r="E145" t="str">
        <x:v>Active</x:v>
      </x:c>
      <x:c r="F145" t="n">
        <x:v>78</x:v>
      </x:c>
      <x:c r="G145" t="n">
        <x:v>38</x:v>
      </x:c>
      <x:c r="H145" s="22" t="n">
        <x:v>1170</x:v>
      </x:c>
      <x:c r="I145" t="n">
        <x:v>27</x:v>
      </x:c>
      <x:c r="J145" t="n">
        <x:v>0</x:v>
      </x:c>
    </x:row>
    <x:row r="146" ht="18" customHeight="1">
      <x:c r="A146" t="str">
        <x:v>87-104-0187</x:v>
      </x:c>
      <x:c r="B146" t="str">
        <x:v>Whole Wheat Flour</x:v>
      </x:c>
      <x:c r="C146" t="str">
        <x:v>Rhyloo</x:v>
      </x:c>
      <x:c r="D146" t="str">
        <x:v>Grains &amp; Pulses</x:v>
      </x:c>
      <x:c r="E146" t="str">
        <x:v>Backordered</x:v>
      </x:c>
      <x:c r="F146" t="n">
        <x:v>86</x:v>
      </x:c>
      <x:c r="G146" t="n">
        <x:v>100</x:v>
      </x:c>
      <x:c r="H146" s="22" t="n">
        <x:v>236.5</x:v>
      </x:c>
      <x:c r="I146" t="n">
        <x:v>78</x:v>
      </x:c>
      <x:c r="J146" t="n">
        <x:v>78</x:v>
      </x:c>
    </x:row>
    <x:row r="147" ht="18" customHeight="1">
      <x:c r="A147" t="str">
        <x:v>87-272-6544</x:v>
      </x:c>
      <x:c r="B147" t="str">
        <x:v>Egg (Goose)</x:v>
      </x:c>
      <x:c r="C147" t="str">
        <x:v>Skalith</x:v>
      </x:c>
      <x:c r="D147" t="str">
        <x:v>Dairy</x:v>
      </x:c>
      <x:c r="E147" t="str">
        <x:v>Discontinued</x:v>
      </x:c>
      <x:c r="F147" t="n">
        <x:v>90</x:v>
      </x:c>
      <x:c r="G147" t="n">
        <x:v>3</x:v>
      </x:c>
      <x:c r="H147" s="22" t="n">
        <x:v>225</x:v>
      </x:c>
      <x:c r="I147" t="n">
        <x:v>49</x:v>
      </x:c>
      <x:c r="J147" t="n">
        <x:v>0</x:v>
      </x:c>
    </x:row>
    <x:row r="148" ht="18" customHeight="1">
      <x:c r="A148" t="str">
        <x:v>06-340-6856</x:v>
      </x:c>
      <x:c r="B148" t="str">
        <x:v>Wild Rice</x:v>
      </x:c>
      <x:c r="C148" t="str">
        <x:v>Podcat</x:v>
      </x:c>
      <x:c r="D148" t="str">
        <x:v>Grains &amp; Pulses</x:v>
      </x:c>
      <x:c r="E148" t="str">
        <x:v>Active</x:v>
      </x:c>
      <x:c r="F148" t="n">
        <x:v>41</x:v>
      </x:c>
      <x:c r="G148" t="n">
        <x:v>56</x:v>
      </x:c>
      <x:c r="H148" s="22" t="n">
        <x:v>399.75</x:v>
      </x:c>
      <x:c r="I148" t="n">
        <x:v>12</x:v>
      </x:c>
      <x:c r="J148" t="n">
        <x:v>15</x:v>
      </x:c>
    </x:row>
    <x:row r="149" ht="18" customHeight="1">
      <x:c r="A149" t="str">
        <x:v>80-020-8041</x:v>
      </x:c>
      <x:c r="B149" t="str">
        <x:v>Black Rice</x:v>
      </x:c>
      <x:c r="C149" t="str">
        <x:v>Wordware</x:v>
      </x:c>
      <x:c r="D149" t="str">
        <x:v>Grains &amp; Pulses</x:v>
      </x:c>
      <x:c r="E149" t="str">
        <x:v>Active</x:v>
      </x:c>
      <x:c r="F149" t="n">
        <x:v>11</x:v>
      </x:c>
      <x:c r="G149" t="n">
        <x:v>58</x:v>
      </x:c>
      <x:c r="H149" s="22" t="n">
        <x:v>68.2</x:v>
      </x:c>
      <x:c r="I149" t="n">
        <x:v>26</x:v>
      </x:c>
      <x:c r="J149" t="n">
        <x:v>47</x:v>
      </x:c>
    </x:row>
    <x:row r="150" ht="18" customHeight="1">
      <x:c r="A150" t="str">
        <x:v>48-461-3742</x:v>
      </x:c>
      <x:c r="B150" t="str">
        <x:v>Kiwi</x:v>
      </x:c>
      <x:c r="C150" t="str">
        <x:v>Zooveo</x:v>
      </x:c>
      <x:c r="D150" t="str">
        <x:v>Fruits &amp; Vegetables</x:v>
      </x:c>
      <x:c r="E150" t="str">
        <x:v>Discontinued</x:v>
      </x:c>
      <x:c r="F150" t="n">
        <x:v>37</x:v>
      </x:c>
      <x:c r="G150" t="n">
        <x:v>8</x:v>
      </x:c>
      <x:c r="H150" s="22" t="n">
        <x:v>222</x:v>
      </x:c>
      <x:c r="I150" t="n">
        <x:v>50</x:v>
      </x:c>
      <x:c r="J150" t="n">
        <x:v>0</x:v>
      </x:c>
    </x:row>
    <x:row r="151" ht="18" customHeight="1">
      <x:c r="A151" t="str">
        <x:v>78-362-8578</x:v>
      </x:c>
      <x:c r="B151" t="str">
        <x:v>Lemon</x:v>
      </x:c>
      <x:c r="C151" t="str">
        <x:v>Vimbo</x:v>
      </x:c>
      <x:c r="D151" t="str">
        <x:v>Fruits &amp; Vegetables</x:v>
      </x:c>
      <x:c r="E151" t="str">
        <x:v>Backordered</x:v>
      </x:c>
      <x:c r="F151" t="n">
        <x:v>72</x:v>
      </x:c>
      <x:c r="G151" t="n">
        <x:v>32</x:v>
      </x:c>
      <x:c r="H151" s="22" t="n">
        <x:v>176.4</x:v>
      </x:c>
      <x:c r="I151" t="n">
        <x:v>80</x:v>
      </x:c>
      <x:c r="J151" t="n">
        <x:v>0</x:v>
      </x:c>
    </x:row>
    <x:row r="152" ht="18" customHeight="1">
      <x:c r="A152" t="str">
        <x:v>60-550-4771</x:v>
      </x:c>
      <x:c r="B152" t="str">
        <x:v>Haddock</x:v>
      </x:c>
      <x:c r="C152" t="str">
        <x:v>Kwimbee</x:v>
      </x:c>
      <x:c r="D152" t="str">
        <x:v>Seafood</x:v>
      </x:c>
      <x:c r="E152" t="str">
        <x:v>Backordered</x:v>
      </x:c>
      <x:c r="F152" t="n">
        <x:v>75</x:v>
      </x:c>
      <x:c r="G152" t="n">
        <x:v>80</x:v>
      </x:c>
      <x:c r="H152" s="22" t="n">
        <x:v>675</x:v>
      </x:c>
      <x:c r="I152" t="n">
        <x:v>87</x:v>
      </x:c>
      <x:c r="J152" t="n">
        <x:v>87</x:v>
      </x:c>
    </x:row>
    <x:row r="153" ht="18" customHeight="1">
      <x:c r="A153" t="str">
        <x:v>11-155-7826</x:v>
      </x:c>
      <x:c r="B153" t="str">
        <x:v>Arabica Coffee</x:v>
      </x:c>
      <x:c r="C153" t="str">
        <x:v>Feedfire</x:v>
      </x:c>
      <x:c r="D153" t="str">
        <x:v>Beverages</x:v>
      </x:c>
      <x:c r="E153" t="str">
        <x:v>Active</x:v>
      </x:c>
      <x:c r="F153" t="n">
        <x:v>98</x:v>
      </x:c>
      <x:c r="G153" t="n">
        <x:v>83</x:v>
      </x:c>
      <x:c r="H153" s="22" t="n">
        <x:v>1960</x:v>
      </x:c>
      <x:c r="I153" t="n">
        <x:v>5</x:v>
      </x:c>
      <x:c r="J153" t="n">
        <x:v>0</x:v>
      </x:c>
    </x:row>
    <x:row r="154" ht="18" customHeight="1">
      <x:c r="A154" t="str">
        <x:v>42-907-6946</x:v>
      </x:c>
      <x:c r="B154" t="str">
        <x:v>Coconut Oil</x:v>
      </x:c>
      <x:c r="C154" t="str">
        <x:v>Bluejam</x:v>
      </x:c>
      <x:c r="D154" t="str">
        <x:v>Oils &amp; Fats</x:v>
      </x:c>
      <x:c r="E154" t="str">
        <x:v>Active</x:v>
      </x:c>
      <x:c r="F154" t="n">
        <x:v>90</x:v>
      </x:c>
      <x:c r="G154" t="n">
        <x:v>75</x:v>
      </x:c>
      <x:c r="H154" s="22" t="n">
        <x:v>450</x:v>
      </x:c>
      <x:c r="I154" t="n">
        <x:v>6</x:v>
      </x:c>
      <x:c r="J154" t="n">
        <x:v>0</x:v>
      </x:c>
    </x:row>
    <x:row r="155" ht="18" customHeight="1">
      <x:c r="A155" t="str">
        <x:v>99-048-8310</x:v>
      </x:c>
      <x:c r="B155" t="str">
        <x:v>Tomato</x:v>
      </x:c>
      <x:c r="C155" t="str">
        <x:v>Demimbu</x:v>
      </x:c>
      <x:c r="D155" t="str">
        <x:v>Fruits &amp; Vegetables</x:v>
      </x:c>
      <x:c r="E155" t="str">
        <x:v>Discontinued</x:v>
      </x:c>
      <x:c r="F155" t="n">
        <x:v>32</x:v>
      </x:c>
      <x:c r="G155" t="n">
        <x:v>49</x:v>
      </x:c>
      <x:c r="H155" s="22" t="n">
        <x:v>80</x:v>
      </x:c>
      <x:c r="I155" t="n">
        <x:v>73</x:v>
      </x:c>
      <x:c r="J155" t="n">
        <x:v>0</x:v>
      </x:c>
    </x:row>
    <x:row r="156" ht="18" customHeight="1">
      <x:c r="A156" t="str">
        <x:v>85-440-3667</x:v>
      </x:c>
      <x:c r="B156" t="str">
        <x:v>Gouda Cheese</x:v>
      </x:c>
      <x:c r="C156" t="str">
        <x:v>Kamba</x:v>
      </x:c>
      <x:c r="D156" t="str">
        <x:v>Dairy</x:v>
      </x:c>
      <x:c r="E156" t="str">
        <x:v>Backordered</x:v>
      </x:c>
      <x:c r="F156" t="n">
        <x:v>68</x:v>
      </x:c>
      <x:c r="G156" t="n">
        <x:v>29</x:v>
      </x:c>
      <x:c r="H156" s="22" t="n">
        <x:v>476</x:v>
      </x:c>
      <x:c r="I156" t="n">
        <x:v>31</x:v>
      </x:c>
      <x:c r="J156" t="n">
        <x:v>0</x:v>
      </x:c>
    </x:row>
    <x:row r="157" ht="18" customHeight="1">
      <x:c r="A157" t="str">
        <x:v>93-571-7294</x:v>
      </x:c>
      <x:c r="B157" t="str">
        <x:v>Sushi Rice</x:v>
      </x:c>
      <x:c r="C157" t="str">
        <x:v>Quire</x:v>
      </x:c>
      <x:c r="D157" t="str">
        <x:v>Grains &amp; Pulses</x:v>
      </x:c>
      <x:c r="E157" t="str">
        <x:v>Backordered</x:v>
      </x:c>
      <x:c r="F157" t="n">
        <x:v>78</x:v>
      </x:c>
      <x:c r="G157" t="n">
        <x:v>94</x:v>
      </x:c>
      <x:c r="H157" s="22" t="n">
        <x:v>339.3</x:v>
      </x:c>
      <x:c r="I157" t="n">
        <x:v>7</x:v>
      </x:c>
      <x:c r="J157" t="n">
        <x:v>16</x:v>
      </x:c>
    </x:row>
    <x:row r="158" ht="18" customHeight="1">
      <x:c r="A158" t="str">
        <x:v>82-977-7752</x:v>
      </x:c>
      <x:c r="B158" t="str">
        <x:v>Spinach</x:v>
      </x:c>
      <x:c r="C158" t="str">
        <x:v>Shuffledrive</x:v>
      </x:c>
      <x:c r="D158" t="str">
        <x:v>Fruits &amp; Vegetables</x:v>
      </x:c>
      <x:c r="E158" t="str">
        <x:v>Active</x:v>
      </x:c>
      <x:c r="F158" t="n">
        <x:v>88</x:v>
      </x:c>
      <x:c r="G158" t="n">
        <x:v>78</x:v>
      </x:c>
      <x:c r="H158" s="22" t="n">
        <x:v>220</x:v>
      </x:c>
      <x:c r="I158" t="n">
        <x:v>17</x:v>
      </x:c>
      <x:c r="J158" t="n">
        <x:v>0</x:v>
      </x:c>
    </x:row>
    <x:row r="159" ht="18" customHeight="1">
      <x:c r="A159" t="str">
        <x:v>76-476-9996</x:v>
      </x:c>
      <x:c r="B159" t="str">
        <x:v>Chocolate Biscuit</x:v>
      </x:c>
      <x:c r="C159" t="str">
        <x:v>Photobean</x:v>
      </x:c>
      <x:c r="D159" t="str">
        <x:v>Bakery</x:v>
      </x:c>
      <x:c r="E159" t="str">
        <x:v>Backordered</x:v>
      </x:c>
      <x:c r="F159" t="n">
        <x:v>37</x:v>
      </x:c>
      <x:c r="G159" t="n">
        <x:v>96</x:v>
      </x:c>
      <x:c r="H159" s="22" t="n">
        <x:v>185</x:v>
      </x:c>
      <x:c r="I159" t="n">
        <x:v>82</x:v>
      </x:c>
      <x:c r="J159" t="n">
        <x:v>82</x:v>
      </x:c>
    </x:row>
    <x:row r="160" ht="18" customHeight="1">
      <x:c r="A160" t="str">
        <x:v>50-679-2072</x:v>
      </x:c>
      <x:c r="B160" t="str">
        <x:v>Canola Oil</x:v>
      </x:c>
      <x:c r="C160" t="str">
        <x:v>Thoughtmix</x:v>
      </x:c>
      <x:c r="D160" t="str">
        <x:v>Oils &amp; Fats</x:v>
      </x:c>
      <x:c r="E160" t="str">
        <x:v>Active</x:v>
      </x:c>
      <x:c r="F160" t="n">
        <x:v>97</x:v>
      </x:c>
      <x:c r="G160" t="n">
        <x:v>32</x:v>
      </x:c>
      <x:c r="H160" s="22" t="n">
        <x:v>223.1</x:v>
      </x:c>
      <x:c r="I160" t="n">
        <x:v>43</x:v>
      </x:c>
      <x:c r="J160" t="n">
        <x:v>0</x:v>
      </x:c>
    </x:row>
    <x:row r="161" ht="18" customHeight="1">
      <x:c r="A161" t="str">
        <x:v>50-329-3145</x:v>
      </x:c>
      <x:c r="B161" t="str">
        <x:v>Milk</x:v>
      </x:c>
      <x:c r="C161" t="str">
        <x:v>Jatri</x:v>
      </x:c>
      <x:c r="D161" t="str">
        <x:v>Dairy</x:v>
      </x:c>
      <x:c r="E161" t="str">
        <x:v>Backordered</x:v>
      </x:c>
      <x:c r="F161" t="n">
        <x:v>12</x:v>
      </x:c>
      <x:c r="G161" t="n">
        <x:v>54</x:v>
      </x:c>
      <x:c r="H161" s="22" t="n">
        <x:v>12</x:v>
      </x:c>
      <x:c r="I161" t="n">
        <x:v>48</x:v>
      </x:c>
      <x:c r="J161" t="n">
        <x:v>48</x:v>
      </x:c>
    </x:row>
    <x:row r="162" ht="18" customHeight="1">
      <x:c r="A162" t="str">
        <x:v>52-392-5312</x:v>
      </x:c>
      <x:c r="B162" t="str">
        <x:v>All-Purpose Flour</x:v>
      </x:c>
      <x:c r="C162" t="str">
        <x:v>Pixonyx</x:v>
      </x:c>
      <x:c r="D162" t="str">
        <x:v>Grains &amp; Pulses</x:v>
      </x:c>
      <x:c r="E162" t="str">
        <x:v>Active</x:v>
      </x:c>
      <x:c r="F162" t="n">
        <x:v>50</x:v>
      </x:c>
      <x:c r="G162" t="n">
        <x:v>42</x:v>
      </x:c>
      <x:c r="H162" s="22" t="n">
        <x:v>87.5</x:v>
      </x:c>
      <x:c r="I162" t="n">
        <x:v>20</x:v>
      </x:c>
      <x:c r="J162" t="n">
        <x:v>0</x:v>
      </x:c>
    </x:row>
    <x:row r="163" ht="18" customHeight="1">
      <x:c r="A163" t="str">
        <x:v>47-663-5703</x:v>
      </x:c>
      <x:c r="B163" t="str">
        <x:v>Basmati Rice</x:v>
      </x:c>
      <x:c r="C163" t="str">
        <x:v>Kanoodle</x:v>
      </x:c>
      <x:c r="D163" t="str">
        <x:v>Grains &amp; Pulses</x:v>
      </x:c>
      <x:c r="E163" t="str">
        <x:v>Discontinued</x:v>
      </x:c>
      <x:c r="F163" t="n">
        <x:v>15</x:v>
      </x:c>
      <x:c r="G163" t="n">
        <x:v>49</x:v>
      </x:c>
      <x:c r="H163" s="22" t="n">
        <x:v>67.5</x:v>
      </x:c>
      <x:c r="I163" t="n">
        <x:v>40</x:v>
      </x:c>
      <x:c r="J163" t="n">
        <x:v>0</x:v>
      </x:c>
    </x:row>
    <x:row r="164" ht="18" customHeight="1">
      <x:c r="A164" t="str">
        <x:v>58-122-2282</x:v>
      </x:c>
      <x:c r="B164" t="str">
        <x:v>Black Tea</x:v>
      </x:c>
      <x:c r="C164" t="str">
        <x:v>Ozu</x:v>
      </x:c>
      <x:c r="D164" t="str">
        <x:v>Beverages</x:v>
      </x:c>
      <x:c r="E164" t="str">
        <x:v>Discontinued</x:v>
      </x:c>
      <x:c r="F164" t="n">
        <x:v>59</x:v>
      </x:c>
      <x:c r="G164" t="n">
        <x:v>20</x:v>
      </x:c>
      <x:c r="H164" s="22" t="n">
        <x:v>295</x:v>
      </x:c>
      <x:c r="I164" t="n">
        <x:v>17</x:v>
      </x:c>
      <x:c r="J164" t="n">
        <x:v>0</x:v>
      </x:c>
    </x:row>
    <x:row r="165" ht="18" customHeight="1">
      <x:c r="A165" t="str">
        <x:v>84-151-2114</x:v>
      </x:c>
      <x:c r="B165" t="str">
        <x:v>Brown Rice</x:v>
      </x:c>
      <x:c r="C165" t="str">
        <x:v>Avamm</x:v>
      </x:c>
      <x:c r="D165" t="str">
        <x:v>Grains &amp; Pulses</x:v>
      </x:c>
      <x:c r="E165" t="str">
        <x:v>Active</x:v>
      </x:c>
      <x:c r="F165" t="n">
        <x:v>39</x:v>
      </x:c>
      <x:c r="G165" t="n">
        <x:v>57</x:v>
      </x:c>
      <x:c r="H165" s="22" t="n">
        <x:v>97.5</x:v>
      </x:c>
      <x:c r="I165" t="n">
        <x:v>54</x:v>
      </x:c>
      <x:c r="J165" t="n">
        <x:v>54</x:v>
      </x:c>
    </x:row>
    <x:row r="166" ht="18" customHeight="1">
      <x:c r="A166" t="str">
        <x:v>93-682-2069</x:v>
      </x:c>
      <x:c r="B166" t="str">
        <x:v>Lime</x:v>
      </x:c>
      <x:c r="C166" t="str">
        <x:v>Roomm</x:v>
      </x:c>
      <x:c r="D166" t="str">
        <x:v>Fruits &amp; Vegetables</x:v>
      </x:c>
      <x:c r="E166" t="str">
        <x:v>Backordered</x:v>
      </x:c>
      <x:c r="F166" t="n">
        <x:v>76</x:v>
      </x:c>
      <x:c r="G166" t="n">
        <x:v>39</x:v>
      </x:c>
      <x:c r="H166" s="22" t="n">
        <x:v>152</x:v>
      </x:c>
      <x:c r="I166" t="n">
        <x:v>15</x:v>
      </x:c>
      <x:c r="J166" t="n">
        <x:v>0</x:v>
      </x:c>
    </x:row>
    <x:row r="167" ht="18" customHeight="1">
      <x:c r="A167" t="str">
        <x:v>48-789-9187</x:v>
      </x:c>
      <x:c r="B167" t="str">
        <x:v>Peach</x:v>
      </x:c>
      <x:c r="C167" t="str">
        <x:v>Browsetype</x:v>
      </x:c>
      <x:c r="D167" t="str">
        <x:v>Fruits &amp; Vegetables</x:v>
      </x:c>
      <x:c r="E167" t="str">
        <x:v>Backordered</x:v>
      </x:c>
      <x:c r="F167" t="n">
        <x:v>45</x:v>
      </x:c>
      <x:c r="G167" t="n">
        <x:v>79</x:v>
      </x:c>
      <x:c r="H167" s="22" t="n">
        <x:v>180</x:v>
      </x:c>
      <x:c r="I167" t="n">
        <x:v>95</x:v>
      </x:c>
      <x:c r="J167" t="n">
        <x:v>95</x:v>
      </x:c>
    </x:row>
    <x:row r="168" ht="18" customHeight="1">
      <x:c r="A168" t="str">
        <x:v>85-806-0613</x:v>
      </x:c>
      <x:c r="B168" t="str">
        <x:v>Oatmeal Biscuit</x:v>
      </x:c>
      <x:c r="C168" t="str">
        <x:v>Kwimbee</x:v>
      </x:c>
      <x:c r="D168" t="str">
        <x:v>Bakery</x:v>
      </x:c>
      <x:c r="E168" t="str">
        <x:v>Active</x:v>
      </x:c>
      <x:c r="F168" t="n">
        <x:v>41</x:v>
      </x:c>
      <x:c r="G168" t="n">
        <x:v>21</x:v>
      </x:c>
      <x:c r="H168" s="22" t="n">
        <x:v>205</x:v>
      </x:c>
      <x:c r="I168" t="n">
        <x:v>47</x:v>
      </x:c>
      <x:c r="J168" t="n">
        <x:v>0</x:v>
      </x:c>
    </x:row>
    <x:row r="169" ht="18" customHeight="1">
      <x:c r="A169" t="str">
        <x:v>19-244-9890</x:v>
      </x:c>
      <x:c r="B169" t="str">
        <x:v>Herbal Tea</x:v>
      </x:c>
      <x:c r="C169" t="str">
        <x:v>Wikido</x:v>
      </x:c>
      <x:c r="D169" t="str">
        <x:v>Beverages</x:v>
      </x:c>
      <x:c r="E169" t="str">
        <x:v>Active</x:v>
      </x:c>
      <x:c r="F169" t="n">
        <x:v>61</x:v>
      </x:c>
      <x:c r="G169" t="n">
        <x:v>22</x:v>
      </x:c>
      <x:c r="H169" s="22" t="n">
        <x:v>1830</x:v>
      </x:c>
      <x:c r="I169" t="n">
        <x:v>98</x:v>
      </x:c>
      <x:c r="J169" t="n">
        <x:v>0</x:v>
      </x:c>
    </x:row>
    <x:row r="170" ht="18" customHeight="1">
      <x:c r="A170" t="str">
        <x:v>60-285-3783</x:v>
      </x:c>
      <x:c r="B170" t="str">
        <x:v>Mushrooms</x:v>
      </x:c>
      <x:c r="C170" t="str">
        <x:v>Youfeed</x:v>
      </x:c>
      <x:c r="D170" t="str">
        <x:v>Fruits &amp; Vegetables</x:v>
      </x:c>
      <x:c r="E170" t="str">
        <x:v>Active</x:v>
      </x:c>
      <x:c r="F170" t="n">
        <x:v>51</x:v>
      </x:c>
      <x:c r="G170" t="n">
        <x:v>62</x:v>
      </x:c>
      <x:c r="H170" s="22" t="n">
        <x:v>306</x:v>
      </x:c>
      <x:c r="I170" t="n">
        <x:v>95</x:v>
      </x:c>
      <x:c r="J170" t="n">
        <x:v>95</x:v>
      </x:c>
    </x:row>
    <x:row r="171" ht="18" customHeight="1">
      <x:c r="A171" t="str">
        <x:v>34-547-0827</x:v>
      </x:c>
      <x:c r="B171" t="str">
        <x:v>White Rice</x:v>
      </x:c>
      <x:c r="C171" t="str">
        <x:v>Wikibox</x:v>
      </x:c>
      <x:c r="D171" t="str">
        <x:v>Grains &amp; Pulses</x:v>
      </x:c>
      <x:c r="E171" t="str">
        <x:v>Backordered</x:v>
      </x:c>
      <x:c r="F171" t="n">
        <x:v>54</x:v>
      </x:c>
      <x:c r="G171" t="n">
        <x:v>53</x:v>
      </x:c>
      <x:c r="H171" s="22" t="n">
        <x:v>97.2</x:v>
      </x:c>
      <x:c r="I171" t="n">
        <x:v>33</x:v>
      </x:c>
      <x:c r="J171" t="n">
        <x:v>0</x:v>
      </x:c>
    </x:row>
    <x:row r="172" ht="18" customHeight="1">
      <x:c r="A172" t="str">
        <x:v>06-731-2162</x:v>
      </x:c>
      <x:c r="B172" t="str">
        <x:v>Lemon</x:v>
      </x:c>
      <x:c r="C172" t="str">
        <x:v>Meejo</x:v>
      </x:c>
      <x:c r="D172" t="str">
        <x:v>Fruits &amp; Vegetables</x:v>
      </x:c>
      <x:c r="E172" t="str">
        <x:v>Discontinued</x:v>
      </x:c>
      <x:c r="F172" t="n">
        <x:v>87</x:v>
      </x:c>
      <x:c r="G172" t="n">
        <x:v>1</x:v>
      </x:c>
      <x:c r="H172" s="22" t="n">
        <x:v>217.5</x:v>
      </x:c>
      <x:c r="I172" t="n">
        <x:v>98</x:v>
      </x:c>
      <x:c r="J172" t="n">
        <x:v>0</x:v>
      </x:c>
    </x:row>
    <x:row r="173" ht="18" customHeight="1">
      <x:c r="A173" t="str">
        <x:v>48-193-1199</x:v>
      </x:c>
      <x:c r="B173" t="str">
        <x:v>Canola Oil</x:v>
      </x:c>
      <x:c r="C173" t="str">
        <x:v>Omba</x:v>
      </x:c>
      <x:c r="D173" t="str">
        <x:v>Oils &amp; Fats</x:v>
      </x:c>
      <x:c r="E173" t="str">
        <x:v>Discontinued</x:v>
      </x:c>
      <x:c r="F173" t="n">
        <x:v>46</x:v>
      </x:c>
      <x:c r="G173" t="n">
        <x:v>51</x:v>
      </x:c>
      <x:c r="H173" s="22" t="n">
        <x:v>105.8</x:v>
      </x:c>
      <x:c r="I173" t="n">
        <x:v>92</x:v>
      </x:c>
      <x:c r="J173" t="n">
        <x:v>0</x:v>
      </x:c>
    </x:row>
    <x:row r="174" ht="18" customHeight="1">
      <x:c r="A174" t="str">
        <x:v>40-003-7322</x:v>
      </x:c>
      <x:c r="B174" t="str">
        <x:v>White Sugar</x:v>
      </x:c>
      <x:c r="C174" t="str">
        <x:v>Wordtune</x:v>
      </x:c>
      <x:c r="D174" t="str">
        <x:v>Grains &amp; Pulses</x:v>
      </x:c>
      <x:c r="E174" t="str">
        <x:v>Discontinued</x:v>
      </x:c>
      <x:c r="F174" t="n">
        <x:v>13</x:v>
      </x:c>
      <x:c r="G174" t="n">
        <x:v>32</x:v>
      </x:c>
      <x:c r="H174" s="22" t="n">
        <x:v>26</x:v>
      </x:c>
      <x:c r="I174" t="n">
        <x:v>79</x:v>
      </x:c>
      <x:c r="J174" t="n">
        <x:v>0</x:v>
      </x:c>
    </x:row>
    <x:row r="175" ht="18" customHeight="1">
      <x:c r="A175" t="str">
        <x:v>91-417-0366</x:v>
      </x:c>
      <x:c r="B175" t="str">
        <x:v>Grapes</x:v>
      </x:c>
      <x:c r="C175" t="str">
        <x:v>Riffwire</x:v>
      </x:c>
      <x:c r="D175" t="str">
        <x:v>Fruits &amp; Vegetables</x:v>
      </x:c>
      <x:c r="E175" t="str">
        <x:v>Discontinued</x:v>
      </x:c>
      <x:c r="F175" t="n">
        <x:v>25</x:v>
      </x:c>
      <x:c r="G175" t="n">
        <x:v>74</x:v>
      </x:c>
      <x:c r="H175" s="22" t="n">
        <x:v>137.5</x:v>
      </x:c>
      <x:c r="I175" t="n">
        <x:v>100</x:v>
      </x:c>
      <x:c r="J175" t="n">
        <x:v>0</x:v>
      </x:c>
    </x:row>
    <x:row r="176" ht="18" customHeight="1">
      <x:c r="A176" t="str">
        <x:v>24-571-1080</x:v>
      </x:c>
      <x:c r="B176" t="str">
        <x:v>Kale</x:v>
      </x:c>
      <x:c r="C176" t="str">
        <x:v>Devshare</x:v>
      </x:c>
      <x:c r="D176" t="str">
        <x:v>Fruits &amp; Vegetables</x:v>
      </x:c>
      <x:c r="E176" t="str">
        <x:v>Discontinued</x:v>
      </x:c>
      <x:c r="F176" t="n">
        <x:v>60</x:v>
      </x:c>
      <x:c r="G176" t="n">
        <x:v>15</x:v>
      </x:c>
      <x:c r="H176" s="22" t="n">
        <x:v>240</x:v>
      </x:c>
      <x:c r="I176" t="n">
        <x:v>89</x:v>
      </x:c>
      <x:c r="J176" t="n">
        <x:v>0</x:v>
      </x:c>
    </x:row>
    <x:row r="177" ht="18" customHeight="1">
      <x:c r="A177" t="str">
        <x:v>22-083-3347</x:v>
      </x:c>
      <x:c r="B177" t="str">
        <x:v>Long Grain Rice</x:v>
      </x:c>
      <x:c r="C177" t="str">
        <x:v>Yodoo</x:v>
      </x:c>
      <x:c r="D177" t="str">
        <x:v>Grains &amp; Pulses</x:v>
      </x:c>
      <x:c r="E177" t="str">
        <x:v>Discontinued</x:v>
      </x:c>
      <x:c r="F177" t="n">
        <x:v>69</x:v>
      </x:c>
      <x:c r="G177" t="n">
        <x:v>82</x:v>
      </x:c>
      <x:c r="H177" s="22" t="n">
        <x:v>103.5</x:v>
      </x:c>
      <x:c r="I177" t="n">
        <x:v>58</x:v>
      </x:c>
      <x:c r="J177" t="n">
        <x:v>0</x:v>
      </x:c>
    </x:row>
    <x:row r="178" ht="18" customHeight="1">
      <x:c r="A178" t="str">
        <x:v>09-101-1740</x:v>
      </x:c>
      <x:c r="B178" t="str">
        <x:v>Sushi Rice</x:v>
      </x:c>
      <x:c r="C178" t="str">
        <x:v>Talane</x:v>
      </x:c>
      <x:c r="D178" t="str">
        <x:v>Grains &amp; Pulses</x:v>
      </x:c>
      <x:c r="E178" t="str">
        <x:v>Discontinued</x:v>
      </x:c>
      <x:c r="F178" t="n">
        <x:v>36</x:v>
      </x:c>
      <x:c r="G178" t="n">
        <x:v>81</x:v>
      </x:c>
      <x:c r="H178" s="22" t="n">
        <x:v>171</x:v>
      </x:c>
      <x:c r="I178" t="n">
        <x:v>54</x:v>
      </x:c>
      <x:c r="J178" t="n">
        <x:v>0</x:v>
      </x:c>
    </x:row>
    <x:row r="179" ht="18" customHeight="1">
      <x:c r="A179" t="str">
        <x:v>17-274-6898</x:v>
      </x:c>
      <x:c r="B179" t="str">
        <x:v>Whole Wheat Bread</x:v>
      </x:c>
      <x:c r="C179" t="str">
        <x:v>Photobug</x:v>
      </x:c>
      <x:c r="D179" t="str">
        <x:v>Bakery</x:v>
      </x:c>
      <x:c r="E179" t="str">
        <x:v>Backordered</x:v>
      </x:c>
      <x:c r="F179" t="n">
        <x:v>36</x:v>
      </x:c>
      <x:c r="G179" t="n">
        <x:v>53</x:v>
      </x:c>
      <x:c r="H179" s="22" t="n">
        <x:v>126</x:v>
      </x:c>
      <x:c r="I179" t="n">
        <x:v>92</x:v>
      </x:c>
      <x:c r="J179" t="n">
        <x:v>92</x:v>
      </x:c>
    </x:row>
    <x:row r="180" ht="18" customHeight="1">
      <x:c r="A180" t="str">
        <x:v>38-655-2312</x:v>
      </x:c>
      <x:c r="B180" t="str">
        <x:v>Kale</x:v>
      </x:c>
      <x:c r="C180" t="str">
        <x:v>Dabshots</x:v>
      </x:c>
      <x:c r="D180" t="str">
        <x:v>Fruits &amp; Vegetables</x:v>
      </x:c>
      <x:c r="E180" t="str">
        <x:v>Backordered</x:v>
      </x:c>
      <x:c r="F180" t="n">
        <x:v>79</x:v>
      </x:c>
      <x:c r="G180" t="n">
        <x:v>74</x:v>
      </x:c>
      <x:c r="H180" s="22" t="n">
        <x:v>316</x:v>
      </x:c>
      <x:c r="I180" t="n">
        <x:v>87</x:v>
      </x:c>
      <x:c r="J180" t="n">
        <x:v>0</x:v>
      </x:c>
    </x:row>
    <x:row r="181" ht="18" customHeight="1">
      <x:c r="A181" t="str">
        <x:v>60-327-4114</x:v>
      </x:c>
      <x:c r="B181" t="str">
        <x:v>Egg (Turkey)</x:v>
      </x:c>
      <x:c r="C181" t="str">
        <x:v>Katz</x:v>
      </x:c>
      <x:c r="D181" t="str">
        <x:v>Dairy</x:v>
      </x:c>
      <x:c r="E181" t="str">
        <x:v>Active</x:v>
      </x:c>
      <x:c r="F181" t="n">
        <x:v>63</x:v>
      </x:c>
      <x:c r="G181" t="n">
        <x:v>7</x:v>
      </x:c>
      <x:c r="H181" s="22" t="n">
        <x:v>148.05</x:v>
      </x:c>
      <x:c r="I181" t="n">
        <x:v>23</x:v>
      </x:c>
      <x:c r="J181" t="n">
        <x:v>0</x:v>
      </x:c>
    </x:row>
    <x:row r="182" ht="18" customHeight="1">
      <x:c r="A182" t="str">
        <x:v>54-281-3746</x:v>
      </x:c>
      <x:c r="B182" t="str">
        <x:v>Green Beans</x:v>
      </x:c>
      <x:c r="C182" t="str">
        <x:v>Viva</x:v>
      </x:c>
      <x:c r="D182" t="str">
        <x:v>Fruits &amp; Vegetables</x:v>
      </x:c>
      <x:c r="E182" t="str">
        <x:v>Discontinued</x:v>
      </x:c>
      <x:c r="F182" t="n">
        <x:v>26</x:v>
      </x:c>
      <x:c r="G182" t="n">
        <x:v>70</x:v>
      </x:c>
      <x:c r="H182" s="22" t="n">
        <x:v>52</x:v>
      </x:c>
      <x:c r="I182" t="n">
        <x:v>52</x:v>
      </x:c>
      <x:c r="J182" t="n">
        <x:v>0</x:v>
      </x:c>
    </x:row>
    <x:row r="183" ht="18" customHeight="1">
      <x:c r="A183" t="str">
        <x:v>25-349-7974</x:v>
      </x:c>
      <x:c r="B183" t="str">
        <x:v>Spinach</x:v>
      </x:c>
      <x:c r="C183" t="str">
        <x:v>Devshare</x:v>
      </x:c>
      <x:c r="D183" t="str">
        <x:v>Fruits &amp; Vegetables</x:v>
      </x:c>
      <x:c r="E183" t="str">
        <x:v>Discontinued</x:v>
      </x:c>
      <x:c r="F183" t="n">
        <x:v>72</x:v>
      </x:c>
      <x:c r="G183" t="n">
        <x:v>70</x:v>
      </x:c>
      <x:c r="H183" s="22" t="n">
        <x:v>180</x:v>
      </x:c>
      <x:c r="I183" t="n">
        <x:v>99</x:v>
      </x:c>
      <x:c r="J183" t="n">
        <x:v>0</x:v>
      </x:c>
    </x:row>
    <x:row r="184" ht="18" customHeight="1">
      <x:c r="A184" t="str">
        <x:v>16-380-0753</x:v>
      </x:c>
      <x:c r="B184" t="str">
        <x:v>Apricot</x:v>
      </x:c>
      <x:c r="C184" t="str">
        <x:v>Quinu</x:v>
      </x:c>
      <x:c r="D184" t="str">
        <x:v>Fruits &amp; Vegetables</x:v>
      </x:c>
      <x:c r="E184" t="str">
        <x:v>Active</x:v>
      </x:c>
      <x:c r="F184" t="n">
        <x:v>38</x:v>
      </x:c>
      <x:c r="G184" t="n">
        <x:v>22</x:v>
      </x:c>
      <x:c r="H184" s="22" t="n">
        <x:v>190</x:v>
      </x:c>
      <x:c r="I184" t="n">
        <x:v>71</x:v>
      </x:c>
      <x:c r="J184" t="n">
        <x:v>0</x:v>
      </x:c>
    </x:row>
    <x:row r="185" ht="18" customHeight="1">
      <x:c r="A185" t="str">
        <x:v>38-049-9319</x:v>
      </x:c>
      <x:c r="B185" t="str">
        <x:v>Oatmeal Biscuit</x:v>
      </x:c>
      <x:c r="C185" t="str">
        <x:v>Trunyx</x:v>
      </x:c>
      <x:c r="D185" t="str">
        <x:v>Bakery</x:v>
      </x:c>
      <x:c r="E185" t="str">
        <x:v>Active</x:v>
      </x:c>
      <x:c r="F185" t="n">
        <x:v>82</x:v>
      </x:c>
      <x:c r="G185" t="n">
        <x:v>6</x:v>
      </x:c>
      <x:c r="H185" s="22" t="n">
        <x:v>410</x:v>
      </x:c>
      <x:c r="I185" t="n">
        <x:v>53</x:v>
      </x:c>
      <x:c r="J185" t="n">
        <x:v>0</x:v>
      </x:c>
    </x:row>
    <x:row r="186" ht="18" customHeight="1">
      <x:c r="A186" t="str">
        <x:v>50-329-3360</x:v>
      </x:c>
      <x:c r="B186" t="str">
        <x:v>Wild Rice</x:v>
      </x:c>
      <x:c r="C186" t="str">
        <x:v>Topdrive</x:v>
      </x:c>
      <x:c r="D186" t="str">
        <x:v>Grains &amp; Pulses</x:v>
      </x:c>
      <x:c r="E186" t="str">
        <x:v>Active</x:v>
      </x:c>
      <x:c r="F186" t="n">
        <x:v>19</x:v>
      </x:c>
      <x:c r="G186" t="n">
        <x:v>77</x:v>
      </x:c>
      <x:c r="H186" s="22" t="n">
        <x:v>190</x:v>
      </x:c>
      <x:c r="I186" t="n">
        <x:v>66</x:v>
      </x:c>
      <x:c r="J186" t="n">
        <x:v>66</x:v>
      </x:c>
    </x:row>
    <x:row r="187" ht="18" customHeight="1">
      <x:c r="A187" t="str">
        <x:v>19-610-2236</x:v>
      </x:c>
      <x:c r="B187" t="str">
        <x:v>Whole Wheat Bread</x:v>
      </x:c>
      <x:c r="C187" t="str">
        <x:v>Mybuzz</x:v>
      </x:c>
      <x:c r="D187" t="str">
        <x:v>Bakery</x:v>
      </x:c>
      <x:c r="E187" t="str">
        <x:v>Active</x:v>
      </x:c>
      <x:c r="F187" t="n">
        <x:v>58</x:v>
      </x:c>
      <x:c r="G187" t="n">
        <x:v>48</x:v>
      </x:c>
      <x:c r="H187" s="22" t="n">
        <x:v>203</x:v>
      </x:c>
      <x:c r="I187" t="n">
        <x:v>9</x:v>
      </x:c>
      <x:c r="J187" t="n">
        <x:v>0</x:v>
      </x:c>
    </x:row>
    <x:row r="188" ht="18" customHeight="1">
      <x:c r="A188" t="str">
        <x:v>46-632-8420</x:v>
      </x:c>
      <x:c r="B188" t="str">
        <x:v>Whipped Cream</x:v>
      </x:c>
      <x:c r="C188" t="str">
        <x:v>Skippad</x:v>
      </x:c>
      <x:c r="D188" t="str">
        <x:v>Dairy</x:v>
      </x:c>
      <x:c r="E188" t="str">
        <x:v>Active</x:v>
      </x:c>
      <x:c r="F188" t="n">
        <x:v>98</x:v>
      </x:c>
      <x:c r="G188" t="n">
        <x:v>24</x:v>
      </x:c>
      <x:c r="H188" s="22" t="n">
        <x:v>401.8</x:v>
      </x:c>
      <x:c r="I188" t="n">
        <x:v>4</x:v>
      </x:c>
      <x:c r="J188" t="n">
        <x:v>0</x:v>
      </x:c>
    </x:row>
    <x:row r="189" ht="18" customHeight="1">
      <x:c r="A189" t="str">
        <x:v>14-836-2894</x:v>
      </x:c>
      <x:c r="B189" t="str">
        <x:v>Apple</x:v>
      </x:c>
      <x:c r="C189" t="str">
        <x:v>Jabbersphere</x:v>
      </x:c>
      <x:c r="D189" t="str">
        <x:v>Fruits &amp; Vegetables</x:v>
      </x:c>
      <x:c r="E189" t="str">
        <x:v>Active</x:v>
      </x:c>
      <x:c r="F189" t="n">
        <x:v>44</x:v>
      </x:c>
      <x:c r="G189" t="n">
        <x:v>92</x:v>
      </x:c>
      <x:c r="H189" s="22" t="n">
        <x:v>154</x:v>
      </x:c>
      <x:c r="I189" t="n">
        <x:v>92</x:v>
      </x:c>
      <x:c r="J189" t="n">
        <x:v>92</x:v>
      </x:c>
    </x:row>
    <x:row r="190" ht="18" customHeight="1">
      <x:c r="A190" t="str">
        <x:v>08-196-2703</x:v>
      </x:c>
      <x:c r="B190" t="str">
        <x:v>Peas</x:v>
      </x:c>
      <x:c r="C190" t="str">
        <x:v>Youbridge</x:v>
      </x:c>
      <x:c r="D190" t="str">
        <x:v>Fruits &amp; Vegetables</x:v>
      </x:c>
      <x:c r="E190" t="str">
        <x:v>Backordered</x:v>
      </x:c>
      <x:c r="F190" t="n">
        <x:v>100</x:v>
      </x:c>
      <x:c r="G190" t="n">
        <x:v>52</x:v>
      </x:c>
      <x:c r="H190" s="22" t="n">
        <x:v>300</x:v>
      </x:c>
      <x:c r="I190" t="n">
        <x:v>2</x:v>
      </x:c>
      <x:c r="J190" t="n">
        <x:v>0</x:v>
      </x:c>
    </x:row>
    <x:row r="191" ht="18" customHeight="1">
      <x:c r="A191" t="str">
        <x:v>87-097-5691</x:v>
      </x:c>
      <x:c r="B191" t="str">
        <x:v>Robusta Coffee</x:v>
      </x:c>
      <x:c r="C191" t="str">
        <x:v>Photofeed</x:v>
      </x:c>
      <x:c r="D191" t="str">
        <x:v>Beverages</x:v>
      </x:c>
      <x:c r="E191" t="str">
        <x:v>Discontinued</x:v>
      </x:c>
      <x:c r="F191" t="n">
        <x:v>62</x:v>
      </x:c>
      <x:c r="G191" t="n">
        <x:v>78</x:v>
      </x:c>
      <x:c r="H191" s="22" t="n">
        <x:v>620</x:v>
      </x:c>
      <x:c r="I191" t="n">
        <x:v>97</x:v>
      </x:c>
      <x:c r="J191" t="n">
        <x:v>0</x:v>
      </x:c>
    </x:row>
    <x:row r="192" ht="18" customHeight="1">
      <x:c r="A192" t="str">
        <x:v>04-453-5485</x:v>
      </x:c>
      <x:c r="B192" t="str">
        <x:v>Tomato</x:v>
      </x:c>
      <x:c r="C192" t="str">
        <x:v>Quatz</x:v>
      </x:c>
      <x:c r="D192" t="str">
        <x:v>Fruits &amp; Vegetables</x:v>
      </x:c>
      <x:c r="E192" t="str">
        <x:v>Backordered</x:v>
      </x:c>
      <x:c r="F192" t="n">
        <x:v>84</x:v>
      </x:c>
      <x:c r="G192" t="n">
        <x:v>20</x:v>
      </x:c>
      <x:c r="H192" s="22" t="n">
        <x:v>210</x:v>
      </x:c>
      <x:c r="I192" t="n">
        <x:v>58</x:v>
      </x:c>
      <x:c r="J192" t="n">
        <x:v>0</x:v>
      </x:c>
    </x:row>
    <x:row r="193" ht="18" customHeight="1">
      <x:c r="A193" t="str">
        <x:v>82-678-8097</x:v>
      </x:c>
      <x:c r="B193" t="str">
        <x:v>Cottage Cheese</x:v>
      </x:c>
      <x:c r="C193" t="str">
        <x:v>Feedmix</x:v>
      </x:c>
      <x:c r="D193" t="str">
        <x:v>Dairy</x:v>
      </x:c>
      <x:c r="E193" t="str">
        <x:v>Backordered</x:v>
      </x:c>
      <x:c r="F193" t="n">
        <x:v>68</x:v>
      </x:c>
      <x:c r="G193" t="n">
        <x:v>82</x:v>
      </x:c>
      <x:c r="H193" s="22" t="n">
        <x:v>326.4</x:v>
      </x:c>
      <x:c r="I193" t="n">
        <x:v>58</x:v>
      </x:c>
      <x:c r="J193" t="n">
        <x:v>58</x:v>
      </x:c>
    </x:row>
    <x:row r="194" ht="18" customHeight="1">
      <x:c r="A194" t="str">
        <x:v>43-703-9939</x:v>
      </x:c>
      <x:c r="B194" t="str">
        <x:v>Pineapple</x:v>
      </x:c>
      <x:c r="C194" t="str">
        <x:v>Bubblemix</x:v>
      </x:c>
      <x:c r="D194" t="str">
        <x:v>Fruits &amp; Vegetables</x:v>
      </x:c>
      <x:c r="E194" t="str">
        <x:v>Active</x:v>
      </x:c>
      <x:c r="F194" t="n">
        <x:v>55</x:v>
      </x:c>
      <x:c r="G194" t="n">
        <x:v>91</x:v>
      </x:c>
      <x:c r="H194" s="22" t="n">
        <x:v>192.5</x:v>
      </x:c>
      <x:c r="I194" t="n">
        <x:v>35</x:v>
      </x:c>
      <x:c r="J194" t="n">
        <x:v>36</x:v>
      </x:c>
    </x:row>
    <x:row r="195" ht="18" customHeight="1">
      <x:c r="A195" t="str">
        <x:v>28-433-8533</x:v>
      </x:c>
      <x:c r="B195" t="str">
        <x:v>Multigrain Bread</x:v>
      </x:c>
      <x:c r="C195" t="str">
        <x:v>Topicware</x:v>
      </x:c>
      <x:c r="D195" t="str">
        <x:v>Bakery</x:v>
      </x:c>
      <x:c r="E195" t="str">
        <x:v>Active</x:v>
      </x:c>
      <x:c r="F195" t="n">
        <x:v>87</x:v>
      </x:c>
      <x:c r="G195" t="n">
        <x:v>70</x:v>
      </x:c>
      <x:c r="H195" s="22" t="n">
        <x:v>278.4</x:v>
      </x:c>
      <x:c r="I195" t="n">
        <x:v>77</x:v>
      </x:c>
      <x:c r="J195" t="n">
        <x:v>0</x:v>
      </x:c>
    </x:row>
    <x:row r="196" ht="18" customHeight="1">
      <x:c r="A196" t="str">
        <x:v>74-234-0628</x:v>
      </x:c>
      <x:c r="B196" t="str">
        <x:v>Almond Flour</x:v>
      </x:c>
      <x:c r="C196" t="str">
        <x:v>Shuffledrive</x:v>
      </x:c>
      <x:c r="D196" t="str">
        <x:v>Grains &amp; Pulses</x:v>
      </x:c>
      <x:c r="E196" t="str">
        <x:v>Active</x:v>
      </x:c>
      <x:c r="F196" t="n">
        <x:v>12</x:v>
      </x:c>
      <x:c r="G196" t="n">
        <x:v>56</x:v>
      </x:c>
      <x:c r="H196" s="22" t="n">
        <x:v>114</x:v>
      </x:c>
      <x:c r="I196" t="n">
        <x:v>92</x:v>
      </x:c>
      <x:c r="J196" t="n">
        <x:v>92</x:v>
      </x:c>
    </x:row>
    <x:row r="197" ht="18" customHeight="1">
      <x:c r="A197" t="str">
        <x:v>02-888-9412</x:v>
      </x:c>
      <x:c r="B197" t="str">
        <x:v>Cauliflower</x:v>
      </x:c>
      <x:c r="C197" t="str">
        <x:v>Photobug</x:v>
      </x:c>
      <x:c r="D197" t="str">
        <x:v>Fruits &amp; Vegetables</x:v>
      </x:c>
      <x:c r="E197" t="str">
        <x:v>Backordered</x:v>
      </x:c>
      <x:c r="F197" t="n">
        <x:v>95</x:v>
      </x:c>
      <x:c r="G197" t="n">
        <x:v>66</x:v>
      </x:c>
      <x:c r="H197" s="22" t="n">
        <x:v>235.6</x:v>
      </x:c>
      <x:c r="I197" t="n">
        <x:v>69</x:v>
      </x:c>
      <x:c r="J197" t="n">
        <x:v>0</x:v>
      </x:c>
    </x:row>
    <x:row r="198" ht="18" customHeight="1">
      <x:c r="A198" t="str">
        <x:v>80-658-6456</x:v>
      </x:c>
      <x:c r="B198" t="str">
        <x:v>Mango</x:v>
      </x:c>
      <x:c r="C198" t="str">
        <x:v>Wordtune</x:v>
      </x:c>
      <x:c r="D198" t="str">
        <x:v>Fruits &amp; Vegetables</x:v>
      </x:c>
      <x:c r="E198" t="str">
        <x:v>Backordered</x:v>
      </x:c>
      <x:c r="F198" t="n">
        <x:v>84</x:v>
      </x:c>
      <x:c r="G198" t="n">
        <x:v>9</x:v>
      </x:c>
      <x:c r="H198" s="22" t="n">
        <x:v>420</x:v>
      </x:c>
      <x:c r="I198" t="n">
        <x:v>46</x:v>
      </x:c>
      <x:c r="J198" t="n">
        <x:v>0</x:v>
      </x:c>
    </x:row>
    <x:row r="199" ht="18" customHeight="1">
      <x:c r="A199" t="str">
        <x:v>70-587-1204</x:v>
      </x:c>
      <x:c r="B199" t="str">
        <x:v>Black Rice</x:v>
      </x:c>
      <x:c r="C199" t="str">
        <x:v>Reallinks</x:v>
      </x:c>
      <x:c r="D199" t="str">
        <x:v>Grains &amp; Pulses</x:v>
      </x:c>
      <x:c r="E199" t="str">
        <x:v>Discontinued</x:v>
      </x:c>
      <x:c r="F199" t="n">
        <x:v>68</x:v>
      </x:c>
      <x:c r="G199" t="n">
        <x:v>68</x:v>
      </x:c>
      <x:c r="H199" s="22" t="n">
        <x:v>408</x:v>
      </x:c>
      <x:c r="I199" t="n">
        <x:v>97</x:v>
      </x:c>
      <x:c r="J199" t="n">
        <x:v>0</x:v>
      </x:c>
    </x:row>
    <x:row r="200" ht="18" customHeight="1">
      <x:c r="A200" t="str">
        <x:v>88-951-9038</x:v>
      </x:c>
      <x:c r="B200" t="str">
        <x:v>Black Coffee</x:v>
      </x:c>
      <x:c r="C200" t="str">
        <x:v>Youfeed</x:v>
      </x:c>
      <x:c r="D200" t="str">
        <x:v>Beverages</x:v>
      </x:c>
      <x:c r="E200" t="str">
        <x:v>Active</x:v>
      </x:c>
      <x:c r="F200" t="n">
        <x:v>11</x:v>
      </x:c>
      <x:c r="G200" t="n">
        <x:v>72</x:v>
      </x:c>
      <x:c r="H200" s="22" t="n">
        <x:v>165</x:v>
      </x:c>
      <x:c r="I200" t="n">
        <x:v>5</x:v>
      </x:c>
      <x:c r="J200" t="n">
        <x:v>61</x:v>
      </x:c>
    </x:row>
    <x:row r="201" ht="18" customHeight="1">
      <x:c r="A201" t="str">
        <x:v>45-317-9731</x:v>
      </x:c>
      <x:c r="B201" t="str">
        <x:v>Palm Oil</x:v>
      </x:c>
      <x:c r="C201" t="str">
        <x:v>Wordware</x:v>
      </x:c>
      <x:c r="D201" t="str">
        <x:v>Oils &amp; Fats</x:v>
      </x:c>
      <x:c r="E201" t="str">
        <x:v>Discontinued</x:v>
      </x:c>
      <x:c r="F201" t="n">
        <x:v>44</x:v>
      </x:c>
      <x:c r="G201" t="n">
        <x:v>83</x:v>
      </x:c>
      <x:c r="H201" s="22" t="n">
        <x:v>79.2</x:v>
      </x:c>
      <x:c r="I201" t="n">
        <x:v>78</x:v>
      </x:c>
      <x:c r="J201" t="n">
        <x:v>0</x:v>
      </x:c>
    </x:row>
    <x:row r="202" ht="18" customHeight="1">
      <x:c r="A202" t="str">
        <x:v>63-874-9747</x:v>
      </x:c>
      <x:c r="B202" t="str">
        <x:v>Orange</x:v>
      </x:c>
      <x:c r="C202" t="str">
        <x:v>Oloo</x:v>
      </x:c>
      <x:c r="D202" t="str">
        <x:v>Fruits &amp; Vegetables</x:v>
      </x:c>
      <x:c r="E202" t="str">
        <x:v>Discontinued</x:v>
      </x:c>
      <x:c r="F202" t="n">
        <x:v>36</x:v>
      </x:c>
      <x:c r="G202" t="n">
        <x:v>59</x:v>
      </x:c>
      <x:c r="H202" s="22" t="n">
        <x:v>108</x:v>
      </x:c>
      <x:c r="I202" t="n">
        <x:v>90</x:v>
      </x:c>
      <x:c r="J202" t="n">
        <x:v>0</x:v>
      </x:c>
    </x:row>
    <x:row r="203" ht="18" customHeight="1">
      <x:c r="A203" t="str">
        <x:v>44-546-5713</x:v>
      </x:c>
      <x:c r="B203" t="str">
        <x:v>Peach</x:v>
      </x:c>
      <x:c r="C203" t="str">
        <x:v>Blogpad</x:v>
      </x:c>
      <x:c r="D203" t="str">
        <x:v>Fruits &amp; Vegetables</x:v>
      </x:c>
      <x:c r="E203" t="str">
        <x:v>Discontinued</x:v>
      </x:c>
      <x:c r="F203" t="n">
        <x:v>94</x:v>
      </x:c>
      <x:c r="G203" t="n">
        <x:v>69</x:v>
      </x:c>
      <x:c r="H203" s="22" t="n">
        <x:v>376</x:v>
      </x:c>
      <x:c r="I203" t="n">
        <x:v>68</x:v>
      </x:c>
      <x:c r="J203" t="n">
        <x:v>0</x:v>
      </x:c>
    </x:row>
    <x:row r="204" ht="18" customHeight="1">
      <x:c r="A204" t="str">
        <x:v>23-070-2433</x:v>
      </x:c>
      <x:c r="B204" t="str">
        <x:v>Powdered Sugar</x:v>
      </x:c>
      <x:c r="C204" t="str">
        <x:v>Meeveo</x:v>
      </x:c>
      <x:c r="D204" t="str">
        <x:v>Grains &amp; Pulses</x:v>
      </x:c>
      <x:c r="E204" t="str">
        <x:v>Discontinued</x:v>
      </x:c>
      <x:c r="F204" t="n">
        <x:v>68</x:v>
      </x:c>
      <x:c r="G204" t="n">
        <x:v>7</x:v>
      </x:c>
      <x:c r="H204" s="22" t="n">
        <x:v>170</x:v>
      </x:c>
      <x:c r="I204" t="n">
        <x:v>37</x:v>
      </x:c>
      <x:c r="J204" t="n">
        <x:v>0</x:v>
      </x:c>
    </x:row>
    <x:row r="205" ht="18" customHeight="1">
      <x:c r="A205" t="str">
        <x:v>91-257-3672</x:v>
      </x:c>
      <x:c r="B205" t="str">
        <x:v>Tilapia</x:v>
      </x:c>
      <x:c r="C205" t="str">
        <x:v>InnoZ</x:v>
      </x:c>
      <x:c r="D205" t="str">
        <x:v>Seafood</x:v>
      </x:c>
      <x:c r="E205" t="str">
        <x:v>Active</x:v>
      </x:c>
      <x:c r="F205" t="n">
        <x:v>78</x:v>
      </x:c>
      <x:c r="G205" t="n">
        <x:v>75</x:v>
      </x:c>
      <x:c r="H205" s="22" t="n">
        <x:v>546</x:v>
      </x:c>
      <x:c r="I205" t="n">
        <x:v>3</x:v>
      </x:c>
      <x:c r="J205" t="n">
        <x:v>0</x:v>
      </x:c>
    </x:row>
    <x:row r="206" ht="18" customHeight="1">
      <x:c r="A206" t="str">
        <x:v>69-561-2496</x:v>
      </x:c>
      <x:c r="B206" t="str">
        <x:v>Banana</x:v>
      </x:c>
      <x:c r="C206" t="str">
        <x:v>Skinix</x:v>
      </x:c>
      <x:c r="D206" t="str">
        <x:v>Fruits &amp; Vegetables</x:v>
      </x:c>
      <x:c r="E206" t="str">
        <x:v>Backordered</x:v>
      </x:c>
      <x:c r="F206" t="n">
        <x:v>82</x:v>
      </x:c>
      <x:c r="G206" t="n">
        <x:v>29</x:v>
      </x:c>
      <x:c r="H206" s="22" t="n">
        <x:v>1255.42</x:v>
      </x:c>
      <x:c r="I206" t="n">
        <x:v>62</x:v>
      </x:c>
      <x:c r="J206" t="n">
        <x:v>0</x:v>
      </x:c>
    </x:row>
    <x:row r="207" ht="18" customHeight="1">
      <x:c r="A207" t="str">
        <x:v>87-013-6488</x:v>
      </x:c>
      <x:c r="B207" t="str">
        <x:v>Sushi Rice</x:v>
      </x:c>
      <x:c r="C207" t="str">
        <x:v>Tekfly</x:v>
      </x:c>
      <x:c r="D207" t="str">
        <x:v>Grains &amp; Pulses</x:v>
      </x:c>
      <x:c r="E207" t="str">
        <x:v>Active</x:v>
      </x:c>
      <x:c r="F207" t="n">
        <x:v>22</x:v>
      </x:c>
      <x:c r="G207" t="n">
        <x:v>10</x:v>
      </x:c>
      <x:c r="H207" s="22" t="n">
        <x:v>93.5</x:v>
      </x:c>
      <x:c r="I207" t="n">
        <x:v>53</x:v>
      </x:c>
      <x:c r="J207" t="n">
        <x:v>0</x:v>
      </x:c>
    </x:row>
    <x:row r="208" ht="18" customHeight="1">
      <x:c r="A208" t="str">
        <x:v>31-969-4614</x:v>
      </x:c>
      <x:c r="B208" t="str">
        <x:v>Arabica Coffee</x:v>
      </x:c>
      <x:c r="C208" t="str">
        <x:v>Voomm</x:v>
      </x:c>
      <x:c r="D208" t="str">
        <x:v>Beverages</x:v>
      </x:c>
      <x:c r="E208" t="str">
        <x:v>Discontinued</x:v>
      </x:c>
      <x:c r="F208" t="n">
        <x:v>62</x:v>
      </x:c>
      <x:c r="G208" t="n">
        <x:v>89</x:v>
      </x:c>
      <x:c r="H208" s="22" t="n">
        <x:v>1240</x:v>
      </x:c>
      <x:c r="I208" t="n">
        <x:v>6</x:v>
      </x:c>
      <x:c r="J208" t="n">
        <x:v>0</x:v>
      </x:c>
    </x:row>
    <x:row r="209" ht="18" customHeight="1">
      <x:c r="A209" t="str">
        <x:v>96-209-1739</x:v>
      </x:c>
      <x:c r="B209" t="str">
        <x:v>Evaporated Milk</x:v>
      </x:c>
      <x:c r="C209" t="str">
        <x:v>Miboo</x:v>
      </x:c>
      <x:c r="D209" t="str">
        <x:v>Dairy</x:v>
      </x:c>
      <x:c r="E209" t="str">
        <x:v>Backordered</x:v>
      </x:c>
      <x:c r="F209" t="n">
        <x:v>70</x:v>
      </x:c>
      <x:c r="G209" t="n">
        <x:v>81</x:v>
      </x:c>
      <x:c r="H209" s="22" t="n">
        <x:v>140</x:v>
      </x:c>
      <x:c r="I209" t="n">
        <x:v>75</x:v>
      </x:c>
      <x:c r="J209" t="n">
        <x:v>75</x:v>
      </x:c>
    </x:row>
    <x:row r="210" ht="18" customHeight="1">
      <x:c r="A210" t="str">
        <x:v>20-022-3173</x:v>
      </x:c>
      <x:c r="B210" t="str">
        <x:v>Bread Flour</x:v>
      </x:c>
      <x:c r="C210" t="str">
        <x:v>Mydeo</x:v>
      </x:c>
      <x:c r="D210" t="str">
        <x:v>Grains &amp; Pulses</x:v>
      </x:c>
      <x:c r="E210" t="str">
        <x:v>Discontinued</x:v>
      </x:c>
      <x:c r="F210" t="n">
        <x:v>21</x:v>
      </x:c>
      <x:c r="G210" t="n">
        <x:v>63</x:v>
      </x:c>
      <x:c r="H210" s="22" t="n">
        <x:v>31.5</x:v>
      </x:c>
      <x:c r="I210" t="n">
        <x:v>65</x:v>
      </x:c>
      <x:c r="J210" t="n">
        <x:v>0</x:v>
      </x:c>
    </x:row>
    <x:row r="211" ht="18" customHeight="1">
      <x:c r="A211" t="str">
        <x:v>44-552-3909</x:v>
      </x:c>
      <x:c r="B211" t="str">
        <x:v>Pear</x:v>
      </x:c>
      <x:c r="C211" t="str">
        <x:v>Riffwire</x:v>
      </x:c>
      <x:c r="D211" t="str">
        <x:v>Fruits &amp; Vegetables</x:v>
      </x:c>
      <x:c r="E211" t="str">
        <x:v>Active</x:v>
      </x:c>
      <x:c r="F211" t="n">
        <x:v>61</x:v>
      </x:c>
      <x:c r="G211" t="n">
        <x:v>50</x:v>
      </x:c>
      <x:c r="H211" s="22" t="n">
        <x:v>274.5</x:v>
      </x:c>
      <x:c r="I211" t="n">
        <x:v>9</x:v>
      </x:c>
      <x:c r="J211" t="n">
        <x:v>0</x:v>
      </x:c>
    </x:row>
    <x:row r="212" ht="18" customHeight="1">
      <x:c r="A212" t="str">
        <x:v>40-902-1995</x:v>
      </x:c>
      <x:c r="B212" t="str">
        <x:v>Asparagus</x:v>
      </x:c>
      <x:c r="C212" t="str">
        <x:v>Zoomzone</x:v>
      </x:c>
      <x:c r="D212" t="str">
        <x:v>Fruits &amp; Vegetables</x:v>
      </x:c>
      <x:c r="E212" t="str">
        <x:v>Backordered</x:v>
      </x:c>
      <x:c r="F212" t="n">
        <x:v>46</x:v>
      </x:c>
      <x:c r="G212" t="n">
        <x:v>88</x:v>
      </x:c>
      <x:c r="H212" s="22" t="n">
        <x:v>220.8</x:v>
      </x:c>
      <x:c r="I212" t="n">
        <x:v>20</x:v>
      </x:c>
      <x:c r="J212" t="n">
        <x:v>42</x:v>
      </x:c>
    </x:row>
    <x:row r="213" ht="18" customHeight="1">
      <x:c r="A213" t="str">
        <x:v>07-846-4804</x:v>
      </x:c>
      <x:c r="B213" t="str">
        <x:v>Jasmine Rice</x:v>
      </x:c>
      <x:c r="C213" t="str">
        <x:v>Tagcat</x:v>
      </x:c>
      <x:c r="D213" t="str">
        <x:v>Grains &amp; Pulses</x:v>
      </x:c>
      <x:c r="E213" t="str">
        <x:v>Discontinued</x:v>
      </x:c>
      <x:c r="F213" t="n">
        <x:v>20</x:v>
      </x:c>
      <x:c r="G213" t="n">
        <x:v>25</x:v>
      </x:c>
      <x:c r="H213" s="22" t="n">
        <x:v>95</x:v>
      </x:c>
      <x:c r="I213" t="n">
        <x:v>73</x:v>
      </x:c>
      <x:c r="J213" t="n">
        <x:v>0</x:v>
      </x:c>
    </x:row>
    <x:row r="214" ht="18" customHeight="1">
      <x:c r="A214" t="str">
        <x:v>17-504-3699</x:v>
      </x:c>
      <x:c r="B214" t="str">
        <x:v>Sweet Potato</x:v>
      </x:c>
      <x:c r="C214" t="str">
        <x:v>Jaxworks</x:v>
      </x:c>
      <x:c r="D214" t="str">
        <x:v>Fruits &amp; Vegetables</x:v>
      </x:c>
      <x:c r="E214" t="str">
        <x:v>Active</x:v>
      </x:c>
      <x:c r="F214" t="n">
        <x:v>80</x:v>
      </x:c>
      <x:c r="G214" t="n">
        <x:v>60</x:v>
      </x:c>
      <x:c r="H214" s="22" t="n">
        <x:v>160</x:v>
      </x:c>
      <x:c r="I214" t="n">
        <x:v>71</x:v>
      </x:c>
      <x:c r="J214" t="n">
        <x:v>0</x:v>
      </x:c>
    </x:row>
    <x:row r="215" ht="18" customHeight="1">
      <x:c r="A215" t="str">
        <x:v>55-522-8242</x:v>
      </x:c>
      <x:c r="B215" t="str">
        <x:v>Whipped Cream</x:v>
      </x:c>
      <x:c r="C215" t="str">
        <x:v>Feedbug</x:v>
      </x:c>
      <x:c r="D215" t="str">
        <x:v>Dairy</x:v>
      </x:c>
      <x:c r="E215" t="str">
        <x:v>Backordered</x:v>
      </x:c>
      <x:c r="F215" t="n">
        <x:v>29</x:v>
      </x:c>
      <x:c r="G215" t="n">
        <x:v>36</x:v>
      </x:c>
      <x:c r="H215" s="22" t="n">
        <x:v>116</x:v>
      </x:c>
      <x:c r="I215" t="n">
        <x:v>40</x:v>
      </x:c>
      <x:c r="J215" t="n">
        <x:v>40</x:v>
      </x:c>
    </x:row>
    <x:row r="216" ht="18" customHeight="1">
      <x:c r="A216" t="str">
        <x:v>17-022-9721</x:v>
      </x:c>
      <x:c r="B216" t="str">
        <x:v>Apple</x:v>
      </x:c>
      <x:c r="C216" t="str">
        <x:v>Chatterpoint</x:v>
      </x:c>
      <x:c r="D216" t="str">
        <x:v>Fruits &amp; Vegetables</x:v>
      </x:c>
      <x:c r="E216" t="str">
        <x:v>Discontinued</x:v>
      </x:c>
      <x:c r="F216" t="n">
        <x:v>43</x:v>
      </x:c>
      <x:c r="G216" t="n">
        <x:v>63</x:v>
      </x:c>
      <x:c r="H216" s="22" t="n">
        <x:v>150.5</x:v>
      </x:c>
      <x:c r="I216" t="n">
        <x:v>99</x:v>
      </x:c>
      <x:c r="J216" t="n">
        <x:v>0</x:v>
      </x:c>
    </x:row>
    <x:row r="217" ht="18" customHeight="1">
      <x:c r="A217" t="str">
        <x:v>03-940-0630</x:v>
      </x:c>
      <x:c r="B217" t="str">
        <x:v>Sunflower Oil</x:v>
      </x:c>
      <x:c r="C217" t="str">
        <x:v>Skibox</x:v>
      </x:c>
      <x:c r="D217" t="str">
        <x:v>Oils &amp; Fats</x:v>
      </x:c>
      <x:c r="E217" t="str">
        <x:v>Discontinued</x:v>
      </x:c>
      <x:c r="F217" t="n">
        <x:v>23</x:v>
      </x:c>
      <x:c r="G217" t="n">
        <x:v>43</x:v>
      </x:c>
      <x:c r="H217" s="22" t="n">
        <x:v>57.5</x:v>
      </x:c>
      <x:c r="I217" t="n">
        <x:v>75</x:v>
      </x:c>
      <x:c r="J217" t="n">
        <x:v>0</x:v>
      </x:c>
    </x:row>
    <x:row r="218" ht="18" customHeight="1">
      <x:c r="A218" t="str">
        <x:v>71-594-6552</x:v>
      </x:c>
      <x:c r="B218" t="str">
        <x:v>Long Grain Rice</x:v>
      </x:c>
      <x:c r="C218" t="str">
        <x:v>Brightbean</x:v>
      </x:c>
      <x:c r="D218" t="str">
        <x:v>Grains &amp; Pulses</x:v>
      </x:c>
      <x:c r="E218" t="str">
        <x:v>Active</x:v>
      </x:c>
      <x:c r="F218" t="n">
        <x:v>12</x:v>
      </x:c>
      <x:c r="G218" t="n">
        <x:v>59</x:v>
      </x:c>
      <x:c r="H218" s="22" t="n">
        <x:v>18</x:v>
      </x:c>
      <x:c r="I218" t="n">
        <x:v>62</x:v>
      </x:c>
      <x:c r="J218" t="n">
        <x:v>62</x:v>
      </x:c>
    </x:row>
    <x:row r="219" ht="18" customHeight="1">
      <x:c r="A219" t="str">
        <x:v>20-225-3930</x:v>
      </x:c>
      <x:c r="B219" t="str">
        <x:v>White Tea</x:v>
      </x:c>
      <x:c r="C219" t="str">
        <x:v>Skipstorm</x:v>
      </x:c>
      <x:c r="D219" t="str">
        <x:v>Beverages</x:v>
      </x:c>
      <x:c r="E219" t="str">
        <x:v>Active</x:v>
      </x:c>
      <x:c r="F219" t="n">
        <x:v>99</x:v>
      </x:c>
      <x:c r="G219" t="n">
        <x:v>87</x:v>
      </x:c>
      <x:c r="H219" s="22" t="n">
        <x:v>2475</x:v>
      </x:c>
      <x:c r="I219" t="n">
        <x:v>10</x:v>
      </x:c>
      <x:c r="J219" t="n">
        <x:v>0</x:v>
      </x:c>
    </x:row>
    <x:row r="220" ht="18" customHeight="1">
      <x:c r="A220" t="str">
        <x:v>53-151-5726</x:v>
      </x:c>
      <x:c r="B220" t="str">
        <x:v>Grapes</x:v>
      </x:c>
      <x:c r="C220" t="str">
        <x:v>Flipopia</x:v>
      </x:c>
      <x:c r="D220" t="str">
        <x:v>Fruits &amp; Vegetables</x:v>
      </x:c>
      <x:c r="E220" t="str">
        <x:v>Backordered</x:v>
      </x:c>
      <x:c r="F220" t="n">
        <x:v>37</x:v>
      </x:c>
      <x:c r="G220" t="n">
        <x:v>45</x:v>
      </x:c>
      <x:c r="H220" s="22" t="n">
        <x:v>203.5</x:v>
      </x:c>
      <x:c r="I220" t="n">
        <x:v>62</x:v>
      </x:c>
      <x:c r="J220" t="n">
        <x:v>62</x:v>
      </x:c>
    </x:row>
    <x:row r="221" ht="18" customHeight="1">
      <x:c r="A221" t="str">
        <x:v>77-777-4536</x:v>
      </x:c>
      <x:c r="B221" t="str">
        <x:v>Basmati Rice</x:v>
      </x:c>
      <x:c r="C221" t="str">
        <x:v>Skidoo</x:v>
      </x:c>
      <x:c r="D221" t="str">
        <x:v>Grains &amp; Pulses</x:v>
      </x:c>
      <x:c r="E221" t="str">
        <x:v>Backordered</x:v>
      </x:c>
      <x:c r="F221" t="n">
        <x:v>26</x:v>
      </x:c>
      <x:c r="G221" t="n">
        <x:v>67</x:v>
      </x:c>
      <x:c r="H221" s="22" t="n">
        <x:v>114.4</x:v>
      </x:c>
      <x:c r="I221" t="n">
        <x:v>46</x:v>
      </x:c>
      <x:c r="J221" t="n">
        <x:v>46</x:v>
      </x:c>
    </x:row>
    <x:row r="222" ht="18" customHeight="1">
      <x:c r="A222" t="str">
        <x:v>07-834-3320</x:v>
      </x:c>
      <x:c r="B222" t="str">
        <x:v>Egg (Quail)</x:v>
      </x:c>
      <x:c r="C222" t="str">
        <x:v>Trunyx</x:v>
      </x:c>
      <x:c r="D222" t="str">
        <x:v>Dairy</x:v>
      </x:c>
      <x:c r="E222" t="str">
        <x:v>Active</x:v>
      </x:c>
      <x:c r="F222" t="n">
        <x:v>94</x:v>
      </x:c>
      <x:c r="G222" t="n">
        <x:v>60</x:v>
      </x:c>
      <x:c r="H222" s="22" t="n">
        <x:v>75.2</x:v>
      </x:c>
      <x:c r="I222" t="n">
        <x:v>78</x:v>
      </x:c>
      <x:c r="J222" t="n">
        <x:v>0</x:v>
      </x:c>
    </x:row>
    <x:row r="223" ht="18" customHeight="1">
      <x:c r="A223" t="str">
        <x:v>51-761-6320</x:v>
      </x:c>
      <x:c r="B223" t="str">
        <x:v>Egg (Goose)</x:v>
      </x:c>
      <x:c r="C223" t="str">
        <x:v>Youopia</x:v>
      </x:c>
      <x:c r="D223" t="str">
        <x:v>Dairy</x:v>
      </x:c>
      <x:c r="E223" t="str">
        <x:v>Backordered</x:v>
      </x:c>
      <x:c r="F223" t="n">
        <x:v>43</x:v>
      </x:c>
      <x:c r="G223" t="n">
        <x:v>78</x:v>
      </x:c>
      <x:c r="H223" s="22" t="n">
        <x:v>107.5</x:v>
      </x:c>
      <x:c r="I223" t="n">
        <x:v>85</x:v>
      </x:c>
      <x:c r="J223" t="n">
        <x:v>85</x:v>
      </x:c>
    </x:row>
    <x:row r="224" ht="18" customHeight="1">
      <x:c r="A224" t="str">
        <x:v>34-291-4939</x:v>
      </x:c>
      <x:c r="B224" t="str">
        <x:v>Digestive Biscuit</x:v>
      </x:c>
      <x:c r="C224" t="str">
        <x:v>Eimbee</x:v>
      </x:c>
      <x:c r="D224" t="str">
        <x:v>Bakery</x:v>
      </x:c>
      <x:c r="E224" t="str">
        <x:v>Discontinued</x:v>
      </x:c>
      <x:c r="F224" t="n">
        <x:v>34</x:v>
      </x:c>
      <x:c r="G224" t="n">
        <x:v>49</x:v>
      </x:c>
      <x:c r="H224" s="22" t="n">
        <x:v>136</x:v>
      </x:c>
      <x:c r="I224" t="n">
        <x:v>27</x:v>
      </x:c>
      <x:c r="J224" t="n">
        <x:v>0</x:v>
      </x:c>
    </x:row>
    <x:row r="225" ht="18" customHeight="1">
      <x:c r="A225" t="str">
        <x:v>67-025-1245</x:v>
      </x:c>
      <x:c r="B225" t="str">
        <x:v>Cabbage</x:v>
      </x:c>
      <x:c r="C225" t="str">
        <x:v>Chatterbridge</x:v>
      </x:c>
      <x:c r="D225" t="str">
        <x:v>Fruits &amp; Vegetables</x:v>
      </x:c>
      <x:c r="E225" t="str">
        <x:v>Active</x:v>
      </x:c>
      <x:c r="F225" t="n">
        <x:v>88</x:v>
      </x:c>
      <x:c r="G225" t="n">
        <x:v>46</x:v>
      </x:c>
      <x:c r="H225" s="22" t="n">
        <x:v>88</x:v>
      </x:c>
      <x:c r="I225" t="n">
        <x:v>55</x:v>
      </x:c>
      <x:c r="J225" t="n">
        <x:v>0</x:v>
      </x:c>
    </x:row>
    <x:row r="226" ht="18" customHeight="1">
      <x:c r="A226" t="str">
        <x:v>63-936-0145</x:v>
      </x:c>
      <x:c r="B226" t="str">
        <x:v>Plum</x:v>
      </x:c>
      <x:c r="C226" t="str">
        <x:v>Thoughtbeat</x:v>
      </x:c>
      <x:c r="D226" t="str">
        <x:v>Fruits &amp; Vegetables</x:v>
      </x:c>
      <x:c r="E226" t="str">
        <x:v>Discontinued</x:v>
      </x:c>
      <x:c r="F226" t="n">
        <x:v>22</x:v>
      </x:c>
      <x:c r="G226" t="n">
        <x:v>56</x:v>
      </x:c>
      <x:c r="H226" s="22" t="n">
        <x:v>88</x:v>
      </x:c>
      <x:c r="I226" t="n">
        <x:v>72</x:v>
      </x:c>
      <x:c r="J226" t="n">
        <x:v>0</x:v>
      </x:c>
    </x:row>
    <x:row r="227" ht="18" customHeight="1">
      <x:c r="A227" t="str">
        <x:v>27-495-1912</x:v>
      </x:c>
      <x:c r="B227" t="str">
        <x:v>Potato</x:v>
      </x:c>
      <x:c r="C227" t="str">
        <x:v>Thoughtbridge</x:v>
      </x:c>
      <x:c r="D227" t="str">
        <x:v>Fruits &amp; Vegetables</x:v>
      </x:c>
      <x:c r="E227" t="str">
        <x:v>Active</x:v>
      </x:c>
      <x:c r="F227" t="n">
        <x:v>26</x:v>
      </x:c>
      <x:c r="G227" t="n">
        <x:v>63</x:v>
      </x:c>
      <x:c r="H227" s="22" t="n">
        <x:v>31.2</x:v>
      </x:c>
      <x:c r="I227" t="n">
        <x:v>88</x:v>
      </x:c>
      <x:c r="J227" t="n">
        <x:v>88</x:v>
      </x:c>
    </x:row>
    <x:row r="228" ht="18" customHeight="1">
      <x:c r="A228" t="str">
        <x:v>47-554-5780</x:v>
      </x:c>
      <x:c r="B228" t="str">
        <x:v>Haddock</x:v>
      </x:c>
      <x:c r="C228" t="str">
        <x:v>Babbleopia</x:v>
      </x:c>
      <x:c r="D228" t="str">
        <x:v>Seafood</x:v>
      </x:c>
      <x:c r="E228" t="str">
        <x:v>Active</x:v>
      </x:c>
      <x:c r="F228" t="n">
        <x:v>93</x:v>
      </x:c>
      <x:c r="G228" t="n">
        <x:v>62</x:v>
      </x:c>
      <x:c r="H228" s="22" t="n">
        <x:v>837</x:v>
      </x:c>
      <x:c r="I228" t="n">
        <x:v>65</x:v>
      </x:c>
      <x:c r="J228" t="n">
        <x:v>0</x:v>
      </x:c>
    </x:row>
    <x:row r="229" ht="18" customHeight="1">
      <x:c r="A229" t="str">
        <x:v>21-013-3508</x:v>
      </x:c>
      <x:c r="B229" t="str">
        <x:v>Cabbage</x:v>
      </x:c>
      <x:c r="C229" t="str">
        <x:v>Meevee</x:v>
      </x:c>
      <x:c r="D229" t="str">
        <x:v>Fruits &amp; Vegetables</x:v>
      </x:c>
      <x:c r="E229" t="str">
        <x:v>Backordered</x:v>
      </x:c>
      <x:c r="F229" t="n">
        <x:v>12</x:v>
      </x:c>
      <x:c r="G229" t="n">
        <x:v>95</x:v>
      </x:c>
      <x:c r="H229" s="22" t="n">
        <x:v>12</x:v>
      </x:c>
      <x:c r="I229" t="n">
        <x:v>49</x:v>
      </x:c>
      <x:c r="J229" t="n">
        <x:v>83</x:v>
      </x:c>
    </x:row>
    <x:row r="230" ht="18" customHeight="1">
      <x:c r="A230" t="str">
        <x:v>39-913-2999</x:v>
      </x:c>
      <x:c r="B230" t="str">
        <x:v>Evaporated Milk</x:v>
      </x:c>
      <x:c r="C230" t="str">
        <x:v>Centimia</x:v>
      </x:c>
      <x:c r="D230" t="str">
        <x:v>Dairy</x:v>
      </x:c>
      <x:c r="E230" t="str">
        <x:v>Discontinued</x:v>
      </x:c>
      <x:c r="F230" t="n">
        <x:v>23</x:v>
      </x:c>
      <x:c r="G230" t="n">
        <x:v>99</x:v>
      </x:c>
      <x:c r="H230" s="22" t="n">
        <x:v>46</x:v>
      </x:c>
      <x:c r="I230" t="n">
        <x:v>97</x:v>
      </x:c>
      <x:c r="J230" t="n">
        <x:v>0</x:v>
      </x:c>
    </x:row>
    <x:row r="231" ht="18" customHeight="1">
      <x:c r="A231" t="str">
        <x:v>82-395-5070</x:v>
      </x:c>
      <x:c r="B231" t="str">
        <x:v>Chocolate Biscuit</x:v>
      </x:c>
      <x:c r="C231" t="str">
        <x:v>Vidoo</x:v>
      </x:c>
      <x:c r="D231" t="str">
        <x:v>Bakery</x:v>
      </x:c>
      <x:c r="E231" t="str">
        <x:v>Active</x:v>
      </x:c>
      <x:c r="F231" t="n">
        <x:v>75</x:v>
      </x:c>
      <x:c r="G231" t="n">
        <x:v>81</x:v>
      </x:c>
      <x:c r="H231" s="22" t="n">
        <x:v>375</x:v>
      </x:c>
      <x:c r="I231" t="n">
        <x:v>17</x:v>
      </x:c>
      <x:c r="J231" t="n">
        <x:v>17</x:v>
      </x:c>
    </x:row>
    <x:row r="232" ht="18" customHeight="1">
      <x:c r="A232" t="str">
        <x:v>62-100-2245</x:v>
      </x:c>
      <x:c r="B232" t="str">
        <x:v>Sourdough Bread</x:v>
      </x:c>
      <x:c r="C232" t="str">
        <x:v>Meevee</x:v>
      </x:c>
      <x:c r="D232" t="str">
        <x:v>Bakery</x:v>
      </x:c>
      <x:c r="E232" t="str">
        <x:v>Backordered</x:v>
      </x:c>
      <x:c r="F232" t="n">
        <x:v>22</x:v>
      </x:c>
      <x:c r="G232" t="n">
        <x:v>60</x:v>
      </x:c>
      <x:c r="H232" s="22" t="n">
        <x:v>92.4</x:v>
      </x:c>
      <x:c r="I232" t="n">
        <x:v>73</x:v>
      </x:c>
      <x:c r="J232" t="n">
        <x:v>73</x:v>
      </x:c>
    </x:row>
    <x:row r="233" ht="18" customHeight="1">
      <x:c r="A233" t="str">
        <x:v>09-712-3630</x:v>
      </x:c>
      <x:c r="B233" t="str">
        <x:v>Grapes</x:v>
      </x:c>
      <x:c r="C233" t="str">
        <x:v>Aibox</x:v>
      </x:c>
      <x:c r="D233" t="str">
        <x:v>Fruits &amp; Vegetables</x:v>
      </x:c>
      <x:c r="E233" t="str">
        <x:v>Backordered</x:v>
      </x:c>
      <x:c r="F233" t="n">
        <x:v>87</x:v>
      </x:c>
      <x:c r="G233" t="n">
        <x:v>62</x:v>
      </x:c>
      <x:c r="H233" s="22" t="n">
        <x:v>478.5</x:v>
      </x:c>
      <x:c r="I233" t="n">
        <x:v>2</x:v>
      </x:c>
      <x:c r="J233" t="n">
        <x:v>0</x:v>
      </x:c>
    </x:row>
    <x:row r="234" ht="18" customHeight="1">
      <x:c r="A234" t="str">
        <x:v>25-010-9478</x:v>
      </x:c>
      <x:c r="B234" t="str">
        <x:v>Eggplant</x:v>
      </x:c>
      <x:c r="C234" t="str">
        <x:v>Topicblab</x:v>
      </x:c>
      <x:c r="D234" t="str">
        <x:v>Fruits &amp; Vegetables</x:v>
      </x:c>
      <x:c r="E234" t="str">
        <x:v>Active</x:v>
      </x:c>
      <x:c r="F234" t="n">
        <x:v>74</x:v>
      </x:c>
      <x:c r="G234" t="n">
        <x:v>30</x:v>
      </x:c>
      <x:c r="H234" s="22" t="n">
        <x:v>222</x:v>
      </x:c>
      <x:c r="I234" t="n">
        <x:v>24</x:v>
      </x:c>
      <x:c r="J234" t="n">
        <x:v>0</x:v>
      </x:c>
    </x:row>
    <x:row r="235" ht="18" customHeight="1">
      <x:c r="A235" t="str">
        <x:v>03-919-9890</x:v>
      </x:c>
      <x:c r="B235" t="str">
        <x:v>Halibut</x:v>
      </x:c>
      <x:c r="C235" t="str">
        <x:v>Wikibox</x:v>
      </x:c>
      <x:c r="D235" t="str">
        <x:v>Seafood</x:v>
      </x:c>
      <x:c r="E235" t="str">
        <x:v>Active</x:v>
      </x:c>
      <x:c r="F235" t="n">
        <x:v>47</x:v>
      </x:c>
      <x:c r="G235" t="n">
        <x:v>29</x:v>
      </x:c>
      <x:c r="H235" s="22" t="n">
        <x:v>940</x:v>
      </x:c>
      <x:c r="I235" t="n">
        <x:v>70</x:v>
      </x:c>
      <x:c r="J235" t="n">
        <x:v>0</x:v>
      </x:c>
    </x:row>
    <x:row r="236" ht="18" customHeight="1">
      <x:c r="A236" t="str">
        <x:v>61-293-6327</x:v>
      </x:c>
      <x:c r="B236" t="str">
        <x:v>Salmon</x:v>
      </x:c>
      <x:c r="C236" t="str">
        <x:v>Kamba</x:v>
      </x:c>
      <x:c r="D236" t="str">
        <x:v>Seafood</x:v>
      </x:c>
      <x:c r="E236" t="str">
        <x:v>Active</x:v>
      </x:c>
      <x:c r="F236" t="n">
        <x:v>98</x:v>
      </x:c>
      <x:c r="G236" t="n">
        <x:v>67</x:v>
      </x:c>
      <x:c r="H236" s="22" t="n">
        <x:v>1470</x:v>
      </x:c>
      <x:c r="I236" t="n">
        <x:v>49</x:v>
      </x:c>
      <x:c r="J236" t="n">
        <x:v>0</x:v>
      </x:c>
    </x:row>
    <x:row r="237" ht="18" customHeight="1">
      <x:c r="A237" t="str">
        <x:v>08-519-5579</x:v>
      </x:c>
      <x:c r="B237" t="str">
        <x:v>Broccoli</x:v>
      </x:c>
      <x:c r="C237" t="str">
        <x:v>Abatz</x:v>
      </x:c>
      <x:c r="D237" t="str">
        <x:v>Fruits &amp; Vegetables</x:v>
      </x:c>
      <x:c r="E237" t="str">
        <x:v>Discontinued</x:v>
      </x:c>
      <x:c r="F237" t="n">
        <x:v>35</x:v>
      </x:c>
      <x:c r="G237" t="n">
        <x:v>4</x:v>
      </x:c>
      <x:c r="H237" s="22" t="n">
        <x:v>140</x:v>
      </x:c>
      <x:c r="I237" t="n">
        <x:v>76</x:v>
      </x:c>
      <x:c r="J237" t="n">
        <x:v>0</x:v>
      </x:c>
    </x:row>
    <x:row r="238" ht="18" customHeight="1">
      <x:c r="A238" t="str">
        <x:v>00-366-9496</x:v>
      </x:c>
      <x:c r="B238" t="str">
        <x:v>Grapes</x:v>
      </x:c>
      <x:c r="C238" t="str">
        <x:v>Kimia</x:v>
      </x:c>
      <x:c r="D238" t="str">
        <x:v>Fruits &amp; Vegetables</x:v>
      </x:c>
      <x:c r="E238" t="str">
        <x:v>Active</x:v>
      </x:c>
      <x:c r="F238" t="n">
        <x:v>30</x:v>
      </x:c>
      <x:c r="G238" t="n">
        <x:v>66</x:v>
      </x:c>
      <x:c r="H238" s="22" t="n">
        <x:v>165</x:v>
      </x:c>
      <x:c r="I238" t="n">
        <x:v>28</x:v>
      </x:c>
      <x:c r="J238" t="n">
        <x:v>36</x:v>
      </x:c>
    </x:row>
    <x:row r="239" ht="18" customHeight="1">
      <x:c r="A239" t="str">
        <x:v>28-840-6096</x:v>
      </x:c>
      <x:c r="B239" t="str">
        <x:v>Pomegranate</x:v>
      </x:c>
      <x:c r="C239" t="str">
        <x:v>Flipopia</x:v>
      </x:c>
      <x:c r="D239" t="str">
        <x:v>Fruits &amp; Vegetables</x:v>
      </x:c>
      <x:c r="E239" t="str">
        <x:v>Discontinued</x:v>
      </x:c>
      <x:c r="F239" t="n">
        <x:v>19</x:v>
      </x:c>
      <x:c r="G239" t="n">
        <x:v>65</x:v>
      </x:c>
      <x:c r="H239" s="22" t="n">
        <x:v>114</x:v>
      </x:c>
      <x:c r="I239" t="n">
        <x:v>48</x:v>
      </x:c>
      <x:c r="J239" t="n">
        <x:v>0</x:v>
      </x:c>
    </x:row>
    <x:row r="240" ht="18" customHeight="1">
      <x:c r="A240" t="str">
        <x:v>04-542-3863</x:v>
      </x:c>
      <x:c r="B240" t="str">
        <x:v>Bread Flour</x:v>
      </x:c>
      <x:c r="C240" t="str">
        <x:v>Eidel</x:v>
      </x:c>
      <x:c r="D240" t="str">
        <x:v>Grains &amp; Pulses</x:v>
      </x:c>
      <x:c r="E240" t="str">
        <x:v>Backordered</x:v>
      </x:c>
      <x:c r="F240" t="n">
        <x:v>34</x:v>
      </x:c>
      <x:c r="G240" t="n">
        <x:v>46</x:v>
      </x:c>
      <x:c r="H240" s="22" t="n">
        <x:v>51</x:v>
      </x:c>
      <x:c r="I240" t="n">
        <x:v>45</x:v>
      </x:c>
      <x:c r="J240" t="n">
        <x:v>45</x:v>
      </x:c>
    </x:row>
    <x:row r="241" ht="18" customHeight="1">
      <x:c r="A241" t="str">
        <x:v>18-199-5799</x:v>
      </x:c>
      <x:c r="B241" t="str">
        <x:v>Cheddar Cheese</x:v>
      </x:c>
      <x:c r="C241" t="str">
        <x:v>Jayo</x:v>
      </x:c>
      <x:c r="D241" t="str">
        <x:v>Dairy</x:v>
      </x:c>
      <x:c r="E241" t="str">
        <x:v>Backordered</x:v>
      </x:c>
      <x:c r="F241" t="n">
        <x:v>40</x:v>
      </x:c>
      <x:c r="G241" t="n">
        <x:v>81</x:v>
      </x:c>
      <x:c r="H241" s="22" t="n">
        <x:v>360</x:v>
      </x:c>
      <x:c r="I241" t="n">
        <x:v>40</x:v>
      </x:c>
      <x:c r="J241" t="n">
        <x:v>41</x:v>
      </x:c>
    </x:row>
    <x:row r="242" ht="18" customHeight="1">
      <x:c r="A242" t="str">
        <x:v>56-875-3717</x:v>
      </x:c>
      <x:c r="B242" t="str">
        <x:v>Brown Rice</x:v>
      </x:c>
      <x:c r="C242" t="str">
        <x:v>Youtags</x:v>
      </x:c>
      <x:c r="D242" t="str">
        <x:v>Grains &amp; Pulses</x:v>
      </x:c>
      <x:c r="E242" t="str">
        <x:v>Active</x:v>
      </x:c>
      <x:c r="F242" t="n">
        <x:v>89</x:v>
      </x:c>
      <x:c r="G242" t="n">
        <x:v>54</x:v>
      </x:c>
      <x:c r="H242" s="22" t="n">
        <x:v>222.5</x:v>
      </x:c>
      <x:c r="I242" t="n">
        <x:v>15</x:v>
      </x:c>
      <x:c r="J242" t="n">
        <x:v>0</x:v>
      </x:c>
    </x:row>
    <x:row r="243" ht="18" customHeight="1">
      <x:c r="A243" t="str">
        <x:v>25-522-6043</x:v>
      </x:c>
      <x:c r="B243" t="str">
        <x:v>Gouda Cheese</x:v>
      </x:c>
      <x:c r="C243" t="str">
        <x:v>Kazu</x:v>
      </x:c>
      <x:c r="D243" t="str">
        <x:v>Dairy</x:v>
      </x:c>
      <x:c r="E243" t="str">
        <x:v>Discontinued</x:v>
      </x:c>
      <x:c r="F243" t="n">
        <x:v>71</x:v>
      </x:c>
      <x:c r="G243" t="n">
        <x:v>93</x:v>
      </x:c>
      <x:c r="H243" s="22" t="n">
        <x:v>497</x:v>
      </x:c>
      <x:c r="I243" t="n">
        <x:v>75</x:v>
      </x:c>
      <x:c r="J243" t="n">
        <x:v>0</x:v>
      </x:c>
    </x:row>
    <x:row r="244" ht="18" customHeight="1">
      <x:c r="A244" t="str">
        <x:v>27-459-0724</x:v>
      </x:c>
      <x:c r="B244" t="str">
        <x:v>Feta Cheese</x:v>
      </x:c>
      <x:c r="C244" t="str">
        <x:v>Quaxo</x:v>
      </x:c>
      <x:c r="D244" t="str">
        <x:v>Dairy</x:v>
      </x:c>
      <x:c r="E244" t="str">
        <x:v>Discontinued</x:v>
      </x:c>
      <x:c r="F244" t="n">
        <x:v>91</x:v>
      </x:c>
      <x:c r="G244" t="n">
        <x:v>7</x:v>
      </x:c>
      <x:c r="H244" s="22" t="n">
        <x:v>637</x:v>
      </x:c>
      <x:c r="I244" t="n">
        <x:v>64</x:v>
      </x:c>
      <x:c r="J244" t="n">
        <x:v>0</x:v>
      </x:c>
    </x:row>
    <x:row r="245" ht="18" customHeight="1">
      <x:c r="A245" t="str">
        <x:v>75-080-4909</x:v>
      </x:c>
      <x:c r="B245" t="str">
        <x:v>Corn Oil</x:v>
      </x:c>
      <x:c r="C245" t="str">
        <x:v>Tagopia</x:v>
      </x:c>
      <x:c r="D245" t="str">
        <x:v>Oils &amp; Fats</x:v>
      </x:c>
      <x:c r="E245" t="str">
        <x:v>Backordered</x:v>
      </x:c>
      <x:c r="F245" t="n">
        <x:v>20</x:v>
      </x:c>
      <x:c r="G245" t="n">
        <x:v>55</x:v>
      </x:c>
      <x:c r="H245" s="22" t="n">
        <x:v>50</x:v>
      </x:c>
      <x:c r="I245" t="n">
        <x:v>15</x:v>
      </x:c>
      <x:c r="J245" t="n">
        <x:v>35</x:v>
      </x:c>
    </x:row>
    <x:row r="246" ht="18" customHeight="1">
      <x:c r="A246" t="str">
        <x:v>07-970-9352</x:v>
      </x:c>
      <x:c r="B246" t="str">
        <x:v>Bell Pepper</x:v>
      </x:c>
      <x:c r="C246" t="str">
        <x:v>Tagtune</x:v>
      </x:c>
      <x:c r="D246" t="str">
        <x:v>Fruits &amp; Vegetables</x:v>
      </x:c>
      <x:c r="E246" t="str">
        <x:v>Active</x:v>
      </x:c>
      <x:c r="F246" t="n">
        <x:v>96</x:v>
      </x:c>
      <x:c r="G246" t="n">
        <x:v>33</x:v>
      </x:c>
      <x:c r="H246" s="22" t="n">
        <x:v>427.2</x:v>
      </x:c>
      <x:c r="I246" t="n">
        <x:v>72</x:v>
      </x:c>
      <x:c r="J246" t="n">
        <x:v>0</x:v>
      </x:c>
    </x:row>
    <x:row r="247" ht="18" customHeight="1">
      <x:c r="A247" t="str">
        <x:v>26-134-9069</x:v>
      </x:c>
      <x:c r="B247" t="str">
        <x:v>Whipped Cream</x:v>
      </x:c>
      <x:c r="C247" t="str">
        <x:v>Devcast</x:v>
      </x:c>
      <x:c r="D247" t="str">
        <x:v>Dairy</x:v>
      </x:c>
      <x:c r="E247" t="str">
        <x:v>Active</x:v>
      </x:c>
      <x:c r="F247" t="n">
        <x:v>14</x:v>
      </x:c>
      <x:c r="G247" t="n">
        <x:v>87</x:v>
      </x:c>
      <x:c r="H247" s="22" t="n">
        <x:v>56</x:v>
      </x:c>
      <x:c r="I247" t="n">
        <x:v>8</x:v>
      </x:c>
      <x:c r="J247" t="n">
        <x:v>73</x:v>
      </x:c>
    </x:row>
    <x:row r="248" ht="18" customHeight="1">
      <x:c r="A248" t="str">
        <x:v>08-396-2704</x:v>
      </x:c>
      <x:c r="B248" t="str">
        <x:v>White Sugar</x:v>
      </x:c>
      <x:c r="C248" t="str">
        <x:v>Cogibox</x:v>
      </x:c>
      <x:c r="D248" t="str">
        <x:v>Grains &amp; Pulses</x:v>
      </x:c>
      <x:c r="E248" t="str">
        <x:v>Discontinued</x:v>
      </x:c>
      <x:c r="F248" t="n">
        <x:v>42</x:v>
      </x:c>
      <x:c r="G248" t="n">
        <x:v>12</x:v>
      </x:c>
      <x:c r="H248" s="22" t="n">
        <x:v>84</x:v>
      </x:c>
      <x:c r="I248" t="n">
        <x:v>28</x:v>
      </x:c>
      <x:c r="J248" t="n">
        <x:v>0</x:v>
      </x:c>
    </x:row>
    <x:row r="249" ht="18" customHeight="1">
      <x:c r="A249" t="str">
        <x:v>24-975-4231</x:v>
      </x:c>
      <x:c r="B249" t="str">
        <x:v>Green Beans</x:v>
      </x:c>
      <x:c r="C249" t="str">
        <x:v>Jayo</x:v>
      </x:c>
      <x:c r="D249" t="str">
        <x:v>Fruits &amp; Vegetables</x:v>
      </x:c>
      <x:c r="E249" t="str">
        <x:v>Active</x:v>
      </x:c>
      <x:c r="F249" t="n">
        <x:v>31</x:v>
      </x:c>
      <x:c r="G249" t="n">
        <x:v>61</x:v>
      </x:c>
      <x:c r="H249" s="22" t="n">
        <x:v>65.1</x:v>
      </x:c>
      <x:c r="I249" t="n">
        <x:v>28</x:v>
      </x:c>
      <x:c r="J249" t="n">
        <x:v>30</x:v>
      </x:c>
    </x:row>
    <x:row r="250" ht="18" customHeight="1">
      <x:c r="A250" t="str">
        <x:v>28-197-9246</x:v>
      </x:c>
      <x:c r="B250" t="str">
        <x:v>Powdered Sugar</x:v>
      </x:c>
      <x:c r="C250" t="str">
        <x:v>Riffwire</x:v>
      </x:c>
      <x:c r="D250" t="str">
        <x:v>Grains &amp; Pulses</x:v>
      </x:c>
      <x:c r="E250" t="str">
        <x:v>Active</x:v>
      </x:c>
      <x:c r="F250" t="n">
        <x:v>47</x:v>
      </x:c>
      <x:c r="G250" t="n">
        <x:v>30</x:v>
      </x:c>
      <x:c r="H250" s="22" t="n">
        <x:v>117.5</x:v>
      </x:c>
      <x:c r="I250" t="n">
        <x:v>16</x:v>
      </x:c>
      <x:c r="J250" t="n">
        <x:v>0</x:v>
      </x:c>
    </x:row>
    <x:row r="251" ht="18" customHeight="1">
      <x:c r="A251" t="str">
        <x:v>77-013-1553</x:v>
      </x:c>
      <x:c r="B251" t="str">
        <x:v>Canola Oil</x:v>
      </x:c>
      <x:c r="C251" t="str">
        <x:v>Yodo</x:v>
      </x:c>
      <x:c r="D251" t="str">
        <x:v>Oils &amp; Fats</x:v>
      </x:c>
      <x:c r="E251" t="str">
        <x:v>Discontinued</x:v>
      </x:c>
      <x:c r="F251" t="n">
        <x:v>79</x:v>
      </x:c>
      <x:c r="G251" t="n">
        <x:v>31</x:v>
      </x:c>
      <x:c r="H251" s="22" t="n">
        <x:v>181.7</x:v>
      </x:c>
      <x:c r="I251" t="n">
        <x:v>66</x:v>
      </x:c>
      <x:c r="J251" t="n">
        <x:v>0</x:v>
      </x:c>
    </x:row>
    <x:row r="252" ht="18" customHeight="1">
      <x:c r="A252" t="str">
        <x:v>83-716-2177</x:v>
      </x:c>
      <x:c r="B252" t="str">
        <x:v>Halibut</x:v>
      </x:c>
      <x:c r="C252" t="str">
        <x:v>Linktype</x:v>
      </x:c>
      <x:c r="D252" t="str">
        <x:v>Seafood</x:v>
      </x:c>
      <x:c r="E252" t="str">
        <x:v>Backordered</x:v>
      </x:c>
      <x:c r="F252" t="n">
        <x:v>18</x:v>
      </x:c>
      <x:c r="G252" t="n">
        <x:v>46</x:v>
      </x:c>
      <x:c r="H252" s="22" t="n">
        <x:v>360</x:v>
      </x:c>
      <x:c r="I252" t="n">
        <x:v>26</x:v>
      </x:c>
      <x:c r="J252" t="n">
        <x:v>28</x:v>
      </x:c>
    </x:row>
    <x:row r="253" ht="18" customHeight="1">
      <x:c r="A253" t="str">
        <x:v>55-164-7723</x:v>
      </x:c>
      <x:c r="B253" t="str">
        <x:v>Halibut</x:v>
      </x:c>
      <x:c r="C253" t="str">
        <x:v>Gevee</x:v>
      </x:c>
      <x:c r="D253" t="str">
        <x:v>Seafood</x:v>
      </x:c>
      <x:c r="E253" t="str">
        <x:v>Active</x:v>
      </x:c>
      <x:c r="F253" t="n">
        <x:v>82</x:v>
      </x:c>
      <x:c r="G253" t="n">
        <x:v>31</x:v>
      </x:c>
      <x:c r="H253" s="22" t="n">
        <x:v>1640</x:v>
      </x:c>
      <x:c r="I253" t="n">
        <x:v>86</x:v>
      </x:c>
      <x:c r="J253" t="n">
        <x:v>0</x:v>
      </x:c>
    </x:row>
    <x:row r="254" ht="18" customHeight="1">
      <x:c r="A254" t="str">
        <x:v>22-778-3553</x:v>
      </x:c>
      <x:c r="B254" t="str">
        <x:v>Cheddar Cheese</x:v>
      </x:c>
      <x:c r="C254" t="str">
        <x:v>Quaxo</x:v>
      </x:c>
      <x:c r="D254" t="str">
        <x:v>Dairy</x:v>
      </x:c>
      <x:c r="E254" t="str">
        <x:v>Active</x:v>
      </x:c>
      <x:c r="F254" t="n">
        <x:v>36</x:v>
      </x:c>
      <x:c r="G254" t="n">
        <x:v>77</x:v>
      </x:c>
      <x:c r="H254" s="22" t="n">
        <x:v>324</x:v>
      </x:c>
      <x:c r="I254" t="n">
        <x:v>49</x:v>
      </x:c>
      <x:c r="J254" t="n">
        <x:v>49</x:v>
      </x:c>
    </x:row>
    <x:row r="255" ht="18" customHeight="1">
      <x:c r="A255" t="str">
        <x:v>14-331-3739</x:v>
      </x:c>
      <x:c r="B255" t="str">
        <x:v>Avocado Oil</x:v>
      </x:c>
      <x:c r="C255" t="str">
        <x:v>Voolith</x:v>
      </x:c>
      <x:c r="D255" t="str">
        <x:v>Oils &amp; Fats</x:v>
      </x:c>
      <x:c r="E255" t="str">
        <x:v>Discontinued</x:v>
      </x:c>
      <x:c r="F255" t="n">
        <x:v>24</x:v>
      </x:c>
      <x:c r="G255" t="n">
        <x:v>89</x:v>
      </x:c>
      <x:c r="H255" s="22" t="n">
        <x:v>240</x:v>
      </x:c>
      <x:c r="I255" t="n">
        <x:v>27</x:v>
      </x:c>
      <x:c r="J255" t="n">
        <x:v>0</x:v>
      </x:c>
    </x:row>
    <x:row r="256" ht="18" customHeight="1">
      <x:c r="A256" t="str">
        <x:v>47-578-4161</x:v>
      </x:c>
      <x:c r="B256" t="str">
        <x:v>Anchovies</x:v>
      </x:c>
      <x:c r="C256" t="str">
        <x:v>Jaxspan</x:v>
      </x:c>
      <x:c r="D256" t="str">
        <x:v>Seafood</x:v>
      </x:c>
      <x:c r="E256" t="str">
        <x:v>Discontinued</x:v>
      </x:c>
      <x:c r="F256" t="n">
        <x:v>88</x:v>
      </x:c>
      <x:c r="G256" t="n">
        <x:v>56</x:v>
      </x:c>
      <x:c r="H256" s="22" t="n">
        <x:v>880</x:v>
      </x:c>
      <x:c r="I256" t="n">
        <x:v>81</x:v>
      </x:c>
      <x:c r="J256" t="n">
        <x:v>0</x:v>
      </x:c>
    </x:row>
    <x:row r="257" ht="18" customHeight="1">
      <x:c r="A257" t="str">
        <x:v>59-857-6577</x:v>
      </x:c>
      <x:c r="B257" t="str">
        <x:v>Evaporated Milk</x:v>
      </x:c>
      <x:c r="C257" t="str">
        <x:v>Blognation</x:v>
      </x:c>
      <x:c r="D257" t="str">
        <x:v>Dairy</x:v>
      </x:c>
      <x:c r="E257" t="str">
        <x:v>Discontinued</x:v>
      </x:c>
      <x:c r="F257" t="n">
        <x:v>23</x:v>
      </x:c>
      <x:c r="G257" t="n">
        <x:v>100</x:v>
      </x:c>
      <x:c r="H257" s="22" t="n">
        <x:v>46</x:v>
      </x:c>
      <x:c r="I257" t="n">
        <x:v>77</x:v>
      </x:c>
      <x:c r="J257" t="n">
        <x:v>0</x:v>
      </x:c>
    </x:row>
    <x:row r="258" ht="18" customHeight="1">
      <x:c r="A258" t="str">
        <x:v>02-559-8196</x:v>
      </x:c>
      <x:c r="B258" t="str">
        <x:v>Mango</x:v>
      </x:c>
      <x:c r="C258" t="str">
        <x:v>Jaxnation</x:v>
      </x:c>
      <x:c r="D258" t="str">
        <x:v>Fruits &amp; Vegetables</x:v>
      </x:c>
      <x:c r="E258" t="str">
        <x:v>Discontinued</x:v>
      </x:c>
      <x:c r="F258" t="n">
        <x:v>61</x:v>
      </x:c>
      <x:c r="G258" t="n">
        <x:v>14</x:v>
      </x:c>
      <x:c r="H258" s="22" t="n">
        <x:v>317.2</x:v>
      </x:c>
      <x:c r="I258" t="n">
        <x:v>49</x:v>
      </x:c>
      <x:c r="J258" t="n">
        <x:v>0</x:v>
      </x:c>
    </x:row>
    <x:row r="259" ht="18" customHeight="1">
      <x:c r="A259" t="str">
        <x:v>13-900-9016</x:v>
      </x:c>
      <x:c r="B259" t="str">
        <x:v>Bell Pepper</x:v>
      </x:c>
      <x:c r="C259" t="str">
        <x:v>Meetz</x:v>
      </x:c>
      <x:c r="D259" t="str">
        <x:v>Fruits &amp; Vegetables</x:v>
      </x:c>
      <x:c r="E259" t="str">
        <x:v>Discontinued</x:v>
      </x:c>
      <x:c r="F259" t="n">
        <x:v>89</x:v>
      </x:c>
      <x:c r="G259" t="n">
        <x:v>96</x:v>
      </x:c>
      <x:c r="H259" s="22" t="n">
        <x:v>400.5</x:v>
      </x:c>
      <x:c r="I259" t="n">
        <x:v>94</x:v>
      </x:c>
      <x:c r="J259" t="n">
        <x:v>0</x:v>
      </x:c>
    </x:row>
    <x:row r="260" ht="18" customHeight="1">
      <x:c r="A260" t="str">
        <x:v>15-144-9413</x:v>
      </x:c>
      <x:c r="B260" t="str">
        <x:v>Strawberries</x:v>
      </x:c>
      <x:c r="C260" t="str">
        <x:v>Meevee</x:v>
      </x:c>
      <x:c r="D260" t="str">
        <x:v>Fruits &amp; Vegetables</x:v>
      </x:c>
      <x:c r="E260" t="str">
        <x:v>Backordered</x:v>
      </x:c>
      <x:c r="F260" t="n">
        <x:v>58</x:v>
      </x:c>
      <x:c r="G260" t="n">
        <x:v>15</x:v>
      </x:c>
      <x:c r="H260" s="22" t="n">
        <x:v>342.2</x:v>
      </x:c>
      <x:c r="I260" t="n">
        <x:v>87</x:v>
      </x:c>
      <x:c r="J260" t="n">
        <x:v>0</x:v>
      </x:c>
    </x:row>
    <x:row r="261" ht="18" customHeight="1">
      <x:c r="A261" t="str">
        <x:v>65-527-9488</x:v>
      </x:c>
      <x:c r="B261" t="str">
        <x:v>Grapes</x:v>
      </x:c>
      <x:c r="C261" t="str">
        <x:v>Layo</x:v>
      </x:c>
      <x:c r="D261" t="str">
        <x:v>Fruits &amp; Vegetables</x:v>
      </x:c>
      <x:c r="E261" t="str">
        <x:v>Active</x:v>
      </x:c>
      <x:c r="F261" t="n">
        <x:v>38</x:v>
      </x:c>
      <x:c r="G261" t="n">
        <x:v>72</x:v>
      </x:c>
      <x:c r="H261" s="22" t="n">
        <x:v>209</x:v>
      </x:c>
      <x:c r="I261" t="n">
        <x:v>39</x:v>
      </x:c>
      <x:c r="J261" t="n">
        <x:v>39</x:v>
      </x:c>
    </x:row>
    <x:row r="262" ht="18" customHeight="1">
      <x:c r="A262" t="str">
        <x:v>74-818-3306</x:v>
      </x:c>
      <x:c r="B262" t="str">
        <x:v>Spinach</x:v>
      </x:c>
      <x:c r="C262" t="str">
        <x:v>Eabox</x:v>
      </x:c>
      <x:c r="D262" t="str">
        <x:v>Fruits &amp; Vegetables</x:v>
      </x:c>
      <x:c r="E262" t="str">
        <x:v>Backordered</x:v>
      </x:c>
      <x:c r="F262" t="n">
        <x:v>45</x:v>
      </x:c>
      <x:c r="G262" t="n">
        <x:v>70</x:v>
      </x:c>
      <x:c r="H262" s="22" t="n">
        <x:v>110.25</x:v>
      </x:c>
      <x:c r="I262" t="n">
        <x:v>98</x:v>
      </x:c>
      <x:c r="J262" t="n">
        <x:v>98</x:v>
      </x:c>
    </x:row>
    <x:row r="263" ht="18" customHeight="1">
      <x:c r="A263" t="str">
        <x:v>60-198-7050</x:v>
      </x:c>
      <x:c r="B263" t="str">
        <x:v>Green Tea</x:v>
      </x:c>
      <x:c r="C263" t="str">
        <x:v>Photobug</x:v>
      </x:c>
      <x:c r="D263" t="str">
        <x:v>Beverages</x:v>
      </x:c>
      <x:c r="E263" t="str">
        <x:v>Active</x:v>
      </x:c>
      <x:c r="F263" t="n">
        <x:v>26</x:v>
      </x:c>
      <x:c r="G263" t="n">
        <x:v>59</x:v>
      </x:c>
      <x:c r="H263" s="22" t="n">
        <x:v>208</x:v>
      </x:c>
      <x:c r="I263" t="n">
        <x:v>54</x:v>
      </x:c>
      <x:c r="J263" t="n">
        <x:v>54</x:v>
      </x:c>
    </x:row>
    <x:row r="264" ht="18" customHeight="1">
      <x:c r="A264" t="str">
        <x:v>82-041-7211</x:v>
      </x:c>
      <x:c r="B264" t="str">
        <x:v>Swiss Cheese</x:v>
      </x:c>
      <x:c r="C264" t="str">
        <x:v>Reallinks</x:v>
      </x:c>
      <x:c r="D264" t="str">
        <x:v>Dairy</x:v>
      </x:c>
      <x:c r="E264" t="str">
        <x:v>Discontinued</x:v>
      </x:c>
      <x:c r="F264" t="n">
        <x:v>49</x:v>
      </x:c>
      <x:c r="G264" t="n">
        <x:v>49</x:v>
      </x:c>
      <x:c r="H264" s="22" t="n">
        <x:v>392</x:v>
      </x:c>
      <x:c r="I264" t="n">
        <x:v>26</x:v>
      </x:c>
      <x:c r="J264" t="n">
        <x:v>0</x:v>
      </x:c>
    </x:row>
    <x:row r="265" ht="18" customHeight="1">
      <x:c r="A265" t="str">
        <x:v>17-002-4721</x:v>
      </x:c>
      <x:c r="B265" t="str">
        <x:v>Green Beans</x:v>
      </x:c>
      <x:c r="C265" t="str">
        <x:v>Omba</x:v>
      </x:c>
      <x:c r="D265" t="str">
        <x:v>Fruits &amp; Vegetables</x:v>
      </x:c>
      <x:c r="E265" t="str">
        <x:v>Active</x:v>
      </x:c>
      <x:c r="F265" t="n">
        <x:v>31</x:v>
      </x:c>
      <x:c r="G265" t="n">
        <x:v>55</x:v>
      </x:c>
      <x:c r="H265" s="22" t="n">
        <x:v>62</x:v>
      </x:c>
      <x:c r="I265" t="n">
        <x:v>5</x:v>
      </x:c>
      <x:c r="J265" t="n">
        <x:v>24</x:v>
      </x:c>
    </x:row>
    <x:row r="266" ht="18" customHeight="1">
      <x:c r="A266" t="str">
        <x:v>74-404-0582</x:v>
      </x:c>
      <x:c r="B266" t="str">
        <x:v>Cherry</x:v>
      </x:c>
      <x:c r="C266" t="str">
        <x:v>Jabbersphere</x:v>
      </x:c>
      <x:c r="D266" t="str">
        <x:v>Fruits &amp; Vegetables</x:v>
      </x:c>
      <x:c r="E266" t="str">
        <x:v>Active</x:v>
      </x:c>
      <x:c r="F266" t="n">
        <x:v>57</x:v>
      </x:c>
      <x:c r="G266" t="n">
        <x:v>82</x:v>
      </x:c>
      <x:c r="H266" s="22" t="n">
        <x:v>456</x:v>
      </x:c>
      <x:c r="I266" t="n">
        <x:v>59</x:v>
      </x:c>
      <x:c r="J266" t="n">
        <x:v>59</x:v>
      </x:c>
    </x:row>
    <x:row r="267" ht="18" customHeight="1">
      <x:c r="A267" t="str">
        <x:v>73-561-2867</x:v>
      </x:c>
      <x:c r="B267" t="str">
        <x:v>Sourdough Bread</x:v>
      </x:c>
      <x:c r="C267" t="str">
        <x:v>Eayo</x:v>
      </x:c>
      <x:c r="D267" t="str">
        <x:v>Bakery</x:v>
      </x:c>
      <x:c r="E267" t="str">
        <x:v>Discontinued</x:v>
      </x:c>
      <x:c r="F267" t="n">
        <x:v>12</x:v>
      </x:c>
      <x:c r="G267" t="n">
        <x:v>86</x:v>
      </x:c>
      <x:c r="H267" s="22" t="n">
        <x:v>48</x:v>
      </x:c>
      <x:c r="I267" t="n">
        <x:v>98</x:v>
      </x:c>
      <x:c r="J267" t="n">
        <x:v>0</x:v>
      </x:c>
    </x:row>
    <x:row r="268" ht="18" customHeight="1">
      <x:c r="A268" t="str">
        <x:v>45-194-4094</x:v>
      </x:c>
      <x:c r="B268" t="str">
        <x:v>Plum</x:v>
      </x:c>
      <x:c r="C268" t="str">
        <x:v>Devcast</x:v>
      </x:c>
      <x:c r="D268" t="str">
        <x:v>Fruits &amp; Vegetables</x:v>
      </x:c>
      <x:c r="E268" t="str">
        <x:v>Active</x:v>
      </x:c>
      <x:c r="F268" t="n">
        <x:v>64</x:v>
      </x:c>
      <x:c r="G268" t="n">
        <x:v>71</x:v>
      </x:c>
      <x:c r="H268" s="22" t="n">
        <x:v>249.6</x:v>
      </x:c>
      <x:c r="I268" t="n">
        <x:v>69</x:v>
      </x:c>
      <x:c r="J268" t="n">
        <x:v>69</x:v>
      </x:c>
    </x:row>
    <x:row r="269" ht="18" customHeight="1">
      <x:c r="A269" t="str">
        <x:v>92-362-3567</x:v>
      </x:c>
      <x:c r="B269" t="str">
        <x:v>Tomato</x:v>
      </x:c>
      <x:c r="C269" t="str">
        <x:v>Fivebridge</x:v>
      </x:c>
      <x:c r="D269" t="str">
        <x:v>Fruits &amp; Vegetables</x:v>
      </x:c>
      <x:c r="E269" t="str">
        <x:v>Discontinued</x:v>
      </x:c>
      <x:c r="F269" t="n">
        <x:v>11</x:v>
      </x:c>
      <x:c r="G269" t="n">
        <x:v>10</x:v>
      </x:c>
      <x:c r="H269" s="22" t="n">
        <x:v>27.5</x:v>
      </x:c>
      <x:c r="I269" t="n">
        <x:v>60</x:v>
      </x:c>
      <x:c r="J269" t="n">
        <x:v>0</x:v>
      </x:c>
    </x:row>
    <x:row r="270" ht="18" customHeight="1">
      <x:c r="A270" t="str">
        <x:v>96-961-2193</x:v>
      </x:c>
      <x:c r="B270" t="str">
        <x:v>Jasmine Rice</x:v>
      </x:c>
      <x:c r="C270" t="str">
        <x:v>Babbleset</x:v>
      </x:c>
      <x:c r="D270" t="str">
        <x:v>Grains &amp; Pulses</x:v>
      </x:c>
      <x:c r="E270" t="str">
        <x:v>Active</x:v>
      </x:c>
      <x:c r="F270" t="n">
        <x:v>46</x:v>
      </x:c>
      <x:c r="G270" t="n">
        <x:v>39</x:v>
      </x:c>
      <x:c r="H270" s="22" t="n">
        <x:v>218.5</x:v>
      </x:c>
      <x:c r="I270" t="n">
        <x:v>11</x:v>
      </x:c>
      <x:c r="J270" t="n">
        <x:v>0</x:v>
      </x:c>
    </x:row>
    <x:row r="271" ht="18" customHeight="1">
      <x:c r="A271" t="str">
        <x:v>92-652-3737</x:v>
      </x:c>
      <x:c r="B271" t="str">
        <x:v>Zucchini</x:v>
      </x:c>
      <x:c r="C271" t="str">
        <x:v>Quimm</x:v>
      </x:c>
      <x:c r="D271" t="str">
        <x:v>Fruits &amp; Vegetables</x:v>
      </x:c>
      <x:c r="E271" t="str">
        <x:v>Backordered</x:v>
      </x:c>
      <x:c r="F271" t="n">
        <x:v>89</x:v>
      </x:c>
      <x:c r="G271" t="n">
        <x:v>56</x:v>
      </x:c>
      <x:c r="H271" s="22" t="n">
        <x:v>222.5</x:v>
      </x:c>
      <x:c r="I271" t="n">
        <x:v>74</x:v>
      </x:c>
      <x:c r="J271" t="n">
        <x:v>0</x:v>
      </x:c>
    </x:row>
    <x:row r="272" ht="18" customHeight="1">
      <x:c r="A272" t="str">
        <x:v>89-673-1543</x:v>
      </x:c>
      <x:c r="B272" t="str">
        <x:v>Digestive Biscuit</x:v>
      </x:c>
      <x:c r="C272" t="str">
        <x:v>Lajo</x:v>
      </x:c>
      <x:c r="D272" t="str">
        <x:v>Bakery</x:v>
      </x:c>
      <x:c r="E272" t="str">
        <x:v>Discontinued</x:v>
      </x:c>
      <x:c r="F272" t="n">
        <x:v>72</x:v>
      </x:c>
      <x:c r="G272" t="n">
        <x:v>78</x:v>
      </x:c>
      <x:c r="H272" s="22" t="n">
        <x:v>288</x:v>
      </x:c>
      <x:c r="I272" t="n">
        <x:v>1</x:v>
      </x:c>
      <x:c r="J272" t="n">
        <x:v>0</x:v>
      </x:c>
    </x:row>
    <x:row r="273" ht="18" customHeight="1">
      <x:c r="A273" t="str">
        <x:v>70-815-4015</x:v>
      </x:c>
      <x:c r="B273" t="str">
        <x:v>Butter Biscuit</x:v>
      </x:c>
      <x:c r="C273" t="str">
        <x:v>Ozu</x:v>
      </x:c>
      <x:c r="D273" t="str">
        <x:v>Bakery</x:v>
      </x:c>
      <x:c r="E273" t="str">
        <x:v>Active</x:v>
      </x:c>
      <x:c r="F273" t="n">
        <x:v>38</x:v>
      </x:c>
      <x:c r="G273" t="n">
        <x:v>93</x:v>
      </x:c>
      <x:c r="H273" s="22" t="n">
        <x:v>228</x:v>
      </x:c>
      <x:c r="I273" t="n">
        <x:v>61</x:v>
      </x:c>
      <x:c r="J273" t="n">
        <x:v>61</x:v>
      </x:c>
    </x:row>
    <x:row r="274" ht="18" customHeight="1">
      <x:c r="A274" t="str">
        <x:v>90-737-0044</x:v>
      </x:c>
      <x:c r="B274" t="str">
        <x:v>Black Rice</x:v>
      </x:c>
      <x:c r="C274" t="str">
        <x:v>Bubblemix</x:v>
      </x:c>
      <x:c r="D274" t="str">
        <x:v>Grains &amp; Pulses</x:v>
      </x:c>
      <x:c r="E274" t="str">
        <x:v>Backordered</x:v>
      </x:c>
      <x:c r="F274" t="n">
        <x:v>79</x:v>
      </x:c>
      <x:c r="G274" t="n">
        <x:v>98</x:v>
      </x:c>
      <x:c r="H274" s="22" t="n">
        <x:v>474</x:v>
      </x:c>
      <x:c r="I274" t="n">
        <x:v>97</x:v>
      </x:c>
      <x:c r="J274" t="n">
        <x:v>97</x:v>
      </x:c>
    </x:row>
    <x:row r="275" ht="18" customHeight="1">
      <x:c r="A275" t="str">
        <x:v>67-473-7093</x:v>
      </x:c>
      <x:c r="B275" t="str">
        <x:v>Black Tea</x:v>
      </x:c>
      <x:c r="C275" t="str">
        <x:v>Topicstorm</x:v>
      </x:c>
      <x:c r="D275" t="str">
        <x:v>Beverages</x:v>
      </x:c>
      <x:c r="E275" t="str">
        <x:v>Active</x:v>
      </x:c>
      <x:c r="F275" t="n">
        <x:v>56</x:v>
      </x:c>
      <x:c r="G275" t="n">
        <x:v>12</x:v>
      </x:c>
      <x:c r="H275" s="22" t="n">
        <x:v>280</x:v>
      </x:c>
      <x:c r="I275" t="n">
        <x:v>85</x:v>
      </x:c>
      <x:c r="J275" t="n">
        <x:v>0</x:v>
      </x:c>
    </x:row>
    <x:row r="276" ht="18" customHeight="1">
      <x:c r="A276" t="str">
        <x:v>22-621-2774</x:v>
      </x:c>
      <x:c r="B276" t="str">
        <x:v>Strawberries</x:v>
      </x:c>
      <x:c r="C276" t="str">
        <x:v>Babblestorm</x:v>
      </x:c>
      <x:c r="D276" t="str">
        <x:v>Fruits &amp; Vegetables</x:v>
      </x:c>
      <x:c r="E276" t="str">
        <x:v>Active</x:v>
      </x:c>
      <x:c r="F276" t="n">
        <x:v>54</x:v>
      </x:c>
      <x:c r="G276" t="n">
        <x:v>26</x:v>
      </x:c>
      <x:c r="H276" s="22" t="n">
        <x:v>324</x:v>
      </x:c>
      <x:c r="I276" t="n">
        <x:v>16</x:v>
      </x:c>
      <x:c r="J276" t="n">
        <x:v>0</x:v>
      </x:c>
    </x:row>
    <x:row r="277" ht="18" customHeight="1">
      <x:c r="A277" t="str">
        <x:v>15-240-6267</x:v>
      </x:c>
      <x:c r="B277" t="str">
        <x:v>Eggplant</x:v>
      </x:c>
      <x:c r="C277" t="str">
        <x:v>Mybuzz</x:v>
      </x:c>
      <x:c r="D277" t="str">
        <x:v>Fruits &amp; Vegetables</x:v>
      </x:c>
      <x:c r="E277" t="str">
        <x:v>Active</x:v>
      </x:c>
      <x:c r="F277" t="n">
        <x:v>91</x:v>
      </x:c>
      <x:c r="G277" t="n">
        <x:v>55</x:v>
      </x:c>
      <x:c r="H277" s="22" t="n">
        <x:v>273</x:v>
      </x:c>
      <x:c r="I277" t="n">
        <x:v>94</x:v>
      </x:c>
      <x:c r="J277" t="n">
        <x:v>0</x:v>
      </x:c>
    </x:row>
    <x:row r="278" ht="18" customHeight="1">
      <x:c r="A278" t="str">
        <x:v>75-152-8731</x:v>
      </x:c>
      <x:c r="B278" t="str">
        <x:v>Pear</x:v>
      </x:c>
      <x:c r="C278" t="str">
        <x:v>Voonix</x:v>
      </x:c>
      <x:c r="D278" t="str">
        <x:v>Fruits &amp; Vegetables</x:v>
      </x:c>
      <x:c r="E278" t="str">
        <x:v>Backordered</x:v>
      </x:c>
      <x:c r="F278" t="n">
        <x:v>82</x:v>
      </x:c>
      <x:c r="G278" t="n">
        <x:v>65</x:v>
      </x:c>
      <x:c r="H278" s="22" t="n">
        <x:v>364.9</x:v>
      </x:c>
      <x:c r="I278" t="n">
        <x:v>69</x:v>
      </x:c>
      <x:c r="J278" t="n">
        <x:v>0</x:v>
      </x:c>
    </x:row>
    <x:row r="279" ht="18" customHeight="1">
      <x:c r="A279" t="str">
        <x:v>40-913-9772</x:v>
      </x:c>
      <x:c r="B279" t="str">
        <x:v>Egg (Chicken)</x:v>
      </x:c>
      <x:c r="C279" t="str">
        <x:v>Einti</x:v>
      </x:c>
      <x:c r="D279" t="str">
        <x:v>Dairy</x:v>
      </x:c>
      <x:c r="E279" t="str">
        <x:v>Backordered</x:v>
      </x:c>
      <x:c r="F279" t="n">
        <x:v>36</x:v>
      </x:c>
      <x:c r="G279" t="n">
        <x:v>30</x:v>
      </x:c>
      <x:c r="H279" s="22" t="n">
        <x:v>7.2</x:v>
      </x:c>
      <x:c r="I279" t="n">
        <x:v>44</x:v>
      </x:c>
      <x:c r="J279" t="n">
        <x:v>0</x:v>
      </x:c>
    </x:row>
    <x:row r="280" ht="18" customHeight="1">
      <x:c r="A280" t="str">
        <x:v>29-377-7040</x:v>
      </x:c>
      <x:c r="B280" t="str">
        <x:v>Short Grain Rice</x:v>
      </x:c>
      <x:c r="C280" t="str">
        <x:v>Brightdog</x:v>
      </x:c>
      <x:c r="D280" t="str">
        <x:v>Grains &amp; Pulses</x:v>
      </x:c>
      <x:c r="E280" t="str">
        <x:v>Active</x:v>
      </x:c>
      <x:c r="F280" t="n">
        <x:v>22</x:v>
      </x:c>
      <x:c r="G280" t="n">
        <x:v>77</x:v>
      </x:c>
      <x:c r="H280" s="22" t="n">
        <x:v>66</x:v>
      </x:c>
      <x:c r="I280" t="n">
        <x:v>15</x:v>
      </x:c>
      <x:c r="J280" t="n">
        <x:v>55</x:v>
      </x:c>
    </x:row>
    <x:row r="281" ht="18" customHeight="1">
      <x:c r="A281" t="str">
        <x:v>72-780-6006</x:v>
      </x:c>
      <x:c r="B281" t="str">
        <x:v>Sunflower Oil</x:v>
      </x:c>
      <x:c r="C281" t="str">
        <x:v>Voolith</x:v>
      </x:c>
      <x:c r="D281" t="str">
        <x:v>Oils &amp; Fats</x:v>
      </x:c>
      <x:c r="E281" t="str">
        <x:v>Discontinued</x:v>
      </x:c>
      <x:c r="F281" t="n">
        <x:v>87</x:v>
      </x:c>
      <x:c r="G281" t="n">
        <x:v>24</x:v>
      </x:c>
      <x:c r="H281" s="22" t="n">
        <x:v>217.5</x:v>
      </x:c>
      <x:c r="I281" t="n">
        <x:v>19</x:v>
      </x:c>
      <x:c r="J281" t="n">
        <x:v>0</x:v>
      </x:c>
    </x:row>
    <x:row r="282" ht="18" customHeight="1">
      <x:c r="A282" t="str">
        <x:v>91-127-7489</x:v>
      </x:c>
      <x:c r="B282" t="str">
        <x:v>Orange</x:v>
      </x:c>
      <x:c r="C282" t="str">
        <x:v>Oyondu</x:v>
      </x:c>
      <x:c r="D282" t="str">
        <x:v>Fruits &amp; Vegetables</x:v>
      </x:c>
      <x:c r="E282" t="str">
        <x:v>Active</x:v>
      </x:c>
      <x:c r="F282" t="n">
        <x:v>44</x:v>
      </x:c>
      <x:c r="G282" t="n">
        <x:v>8</x:v>
      </x:c>
      <x:c r="H282" s="22" t="n">
        <x:v>129.8</x:v>
      </x:c>
      <x:c r="I282" t="n">
        <x:v>52</x:v>
      </x:c>
      <x:c r="J282" t="n">
        <x:v>0</x:v>
      </x:c>
    </x:row>
    <x:row r="283" ht="18" customHeight="1">
      <x:c r="A283" t="str">
        <x:v>17-647-0503</x:v>
      </x:c>
      <x:c r="B283" t="str">
        <x:v>Cod</x:v>
      </x:c>
      <x:c r="C283" t="str">
        <x:v>Katz</x:v>
      </x:c>
      <x:c r="D283" t="str">
        <x:v>Seafood</x:v>
      </x:c>
      <x:c r="E283" t="str">
        <x:v>Active</x:v>
      </x:c>
      <x:c r="F283" t="n">
        <x:v>96</x:v>
      </x:c>
      <x:c r="G283" t="n">
        <x:v>12</x:v>
      </x:c>
      <x:c r="H283" s="22" t="n">
        <x:v>768</x:v>
      </x:c>
      <x:c r="I283" t="n">
        <x:v>8</x:v>
      </x:c>
      <x:c r="J283" t="n">
        <x:v>0</x:v>
      </x:c>
    </x:row>
    <x:row r="284" ht="18" customHeight="1">
      <x:c r="A284" t="str">
        <x:v>91-848-0606</x:v>
      </x:c>
      <x:c r="B284" t="str">
        <x:v>Onion</x:v>
      </x:c>
      <x:c r="C284" t="str">
        <x:v>Skyble</x:v>
      </x:c>
      <x:c r="D284" t="str">
        <x:v>Fruits &amp; Vegetables</x:v>
      </x:c>
      <x:c r="E284" t="str">
        <x:v>Active</x:v>
      </x:c>
      <x:c r="F284" t="n">
        <x:v>39</x:v>
      </x:c>
      <x:c r="G284" t="n">
        <x:v>22</x:v>
      </x:c>
      <x:c r="H284" s="22" t="n">
        <x:v>78</x:v>
      </x:c>
      <x:c r="I284" t="n">
        <x:v>73</x:v>
      </x:c>
      <x:c r="J284" t="n">
        <x:v>0</x:v>
      </x:c>
    </x:row>
    <x:row r="285" ht="18" customHeight="1">
      <x:c r="A285" t="str">
        <x:v>11-745-3025</x:v>
      </x:c>
      <x:c r="B285" t="str">
        <x:v>Peach</x:v>
      </x:c>
      <x:c r="C285" t="str">
        <x:v>Oyoloo</x:v>
      </x:c>
      <x:c r="D285" t="str">
        <x:v>Fruits &amp; Vegetables</x:v>
      </x:c>
      <x:c r="E285" t="str">
        <x:v>Backordered</x:v>
      </x:c>
      <x:c r="F285" t="n">
        <x:v>15</x:v>
      </x:c>
      <x:c r="G285" t="n">
        <x:v>27</x:v>
      </x:c>
      <x:c r="H285" s="22" t="n">
        <x:v>60</x:v>
      </x:c>
      <x:c r="I285" t="n">
        <x:v>21</x:v>
      </x:c>
      <x:c r="J285" t="n">
        <x:v>21</x:v>
      </x:c>
    </x:row>
    <x:row r="286" ht="18" customHeight="1">
      <x:c r="A286" t="str">
        <x:v>29-823-6004</x:v>
      </x:c>
      <x:c r="B286" t="str">
        <x:v>Zucchini</x:v>
      </x:c>
      <x:c r="C286" t="str">
        <x:v>Trudeo</x:v>
      </x:c>
      <x:c r="D286" t="str">
        <x:v>Fruits &amp; Vegetables</x:v>
      </x:c>
      <x:c r="E286" t="str">
        <x:v>Discontinued</x:v>
      </x:c>
      <x:c r="F286" t="n">
        <x:v>52</x:v>
      </x:c>
      <x:c r="G286" t="n">
        <x:v>79</x:v>
      </x:c>
      <x:c r="H286" s="22" t="n">
        <x:v>130</x:v>
      </x:c>
      <x:c r="I286" t="n">
        <x:v>87</x:v>
      </x:c>
      <x:c r="J286" t="n">
        <x:v>0</x:v>
      </x:c>
    </x:row>
    <x:row r="287" ht="18" customHeight="1">
      <x:c r="A287" t="str">
        <x:v>21-718-6746</x:v>
      </x:c>
      <x:c r="B287" t="str">
        <x:v>Coconut</x:v>
      </x:c>
      <x:c r="C287" t="str">
        <x:v>Eamia</x:v>
      </x:c>
      <x:c r="D287" t="str">
        <x:v>Fruits &amp; Vegetables</x:v>
      </x:c>
      <x:c r="E287" t="str">
        <x:v>Discontinued</x:v>
      </x:c>
      <x:c r="F287" t="n">
        <x:v>16</x:v>
      </x:c>
      <x:c r="G287" t="n">
        <x:v>53</x:v>
      </x:c>
      <x:c r="H287" s="22" t="n">
        <x:v>80</x:v>
      </x:c>
      <x:c r="I287" t="n">
        <x:v>12</x:v>
      </x:c>
      <x:c r="J287" t="n">
        <x:v>0</x:v>
      </x:c>
    </x:row>
    <x:row r="288" ht="18" customHeight="1">
      <x:c r="A288" t="str">
        <x:v>86-692-2312</x:v>
      </x:c>
      <x:c r="B288" t="str">
        <x:v>Avocado Oil</x:v>
      </x:c>
      <x:c r="C288" t="str">
        <x:v>Dazzlesphere</x:v>
      </x:c>
      <x:c r="D288" t="str">
        <x:v>Oils &amp; Fats</x:v>
      </x:c>
      <x:c r="E288" t="str">
        <x:v>Active</x:v>
      </x:c>
      <x:c r="F288" t="n">
        <x:v>30</x:v>
      </x:c>
      <x:c r="G288" t="n">
        <x:v>48</x:v>
      </x:c>
      <x:c r="H288" s="22" t="n">
        <x:v>300</x:v>
      </x:c>
      <x:c r="I288" t="n">
        <x:v>52</x:v>
      </x:c>
      <x:c r="J288" t="n">
        <x:v>52</x:v>
      </x:c>
    </x:row>
    <x:row r="289" ht="18" customHeight="1">
      <x:c r="A289" t="str">
        <x:v>54-109-8062</x:v>
      </x:c>
      <x:c r="B289" t="str">
        <x:v>Sushi Rice</x:v>
      </x:c>
      <x:c r="C289" t="str">
        <x:v>Linklinks</x:v>
      </x:c>
      <x:c r="D289" t="str">
        <x:v>Grains &amp; Pulses</x:v>
      </x:c>
      <x:c r="E289" t="str">
        <x:v>Backordered</x:v>
      </x:c>
      <x:c r="F289" t="n">
        <x:v>75</x:v>
      </x:c>
      <x:c r="G289" t="n">
        <x:v>69</x:v>
      </x:c>
      <x:c r="H289" s="22" t="n">
        <x:v>337.5</x:v>
      </x:c>
      <x:c r="I289" t="n">
        <x:v>100</x:v>
      </x:c>
      <x:c r="J289" t="n">
        <x:v>0</x:v>
      </x:c>
    </x:row>
    <x:row r="290" ht="18" customHeight="1">
      <x:c r="A290" t="str">
        <x:v>74-943-9034</x:v>
      </x:c>
      <x:c r="B290" t="str">
        <x:v>White Bread</x:v>
      </x:c>
      <x:c r="C290" t="str">
        <x:v>Tagfeed</x:v>
      </x:c>
      <x:c r="D290" t="str">
        <x:v>Bakery</x:v>
      </x:c>
      <x:c r="E290" t="str">
        <x:v>Active</x:v>
      </x:c>
      <x:c r="F290" t="n">
        <x:v>30</x:v>
      </x:c>
      <x:c r="G290" t="n">
        <x:v>91</x:v>
      </x:c>
      <x:c r="H290" s="22" t="n">
        <x:v>75</x:v>
      </x:c>
      <x:c r="I290" t="n">
        <x:v>34</x:v>
      </x:c>
      <x:c r="J290" t="n">
        <x:v>61</x:v>
      </x:c>
    </x:row>
    <x:row r="291" ht="18" customHeight="1">
      <x:c r="A291" t="str">
        <x:v>71-300-2191</x:v>
      </x:c>
      <x:c r="B291" t="str">
        <x:v>Broccoli</x:v>
      </x:c>
      <x:c r="C291" t="str">
        <x:v>Yamia</x:v>
      </x:c>
      <x:c r="D291" t="str">
        <x:v>Fruits &amp; Vegetables</x:v>
      </x:c>
      <x:c r="E291" t="str">
        <x:v>Active</x:v>
      </x:c>
      <x:c r="F291" t="n">
        <x:v>79</x:v>
      </x:c>
      <x:c r="G291" t="n">
        <x:v>72</x:v>
      </x:c>
      <x:c r="H291" s="22" t="n">
        <x:v>316</x:v>
      </x:c>
      <x:c r="I291" t="n">
        <x:v>6</x:v>
      </x:c>
      <x:c r="J291" t="n">
        <x:v>0</x:v>
      </x:c>
    </x:row>
    <x:row r="292" ht="18" customHeight="1">
      <x:c r="A292" t="str">
        <x:v>65-145-9672</x:v>
      </x:c>
      <x:c r="B292" t="str">
        <x:v>Long Grain Rice</x:v>
      </x:c>
      <x:c r="C292" t="str">
        <x:v>Gigashots</x:v>
      </x:c>
      <x:c r="D292" t="str">
        <x:v>Grains &amp; Pulses</x:v>
      </x:c>
      <x:c r="E292" t="str">
        <x:v>Active</x:v>
      </x:c>
      <x:c r="F292" t="n">
        <x:v>71</x:v>
      </x:c>
      <x:c r="G292" t="n">
        <x:v>10</x:v>
      </x:c>
      <x:c r="H292" s="22" t="n">
        <x:v>106.5</x:v>
      </x:c>
      <x:c r="I292" t="n">
        <x:v>49</x:v>
      </x:c>
      <x:c r="J292" t="n">
        <x:v>0</x:v>
      </x:c>
    </x:row>
    <x:row r="293" ht="18" customHeight="1">
      <x:c r="A293" t="str">
        <x:v>93-966-7754</x:v>
      </x:c>
      <x:c r="B293" t="str">
        <x:v>Pineapple</x:v>
      </x:c>
      <x:c r="C293" t="str">
        <x:v>Quinu</x:v>
      </x:c>
      <x:c r="D293" t="str">
        <x:v>Fruits &amp; Vegetables</x:v>
      </x:c>
      <x:c r="E293" t="str">
        <x:v>Active</x:v>
      </x:c>
      <x:c r="F293" t="n">
        <x:v>65</x:v>
      </x:c>
      <x:c r="G293" t="n">
        <x:v>35</x:v>
      </x:c>
      <x:c r="H293" s="22" t="n">
        <x:v>227.5</x:v>
      </x:c>
      <x:c r="I293" t="n">
        <x:v>3</x:v>
      </x:c>
      <x:c r="J293" t="n">
        <x:v>0</x:v>
      </x:c>
    </x:row>
    <x:row r="294" ht="18" customHeight="1">
      <x:c r="A294" t="str">
        <x:v>27-216-9671</x:v>
      </x:c>
      <x:c r="B294" t="str">
        <x:v>Sesame Oil</x:v>
      </x:c>
      <x:c r="C294" t="str">
        <x:v>Skilith</x:v>
      </x:c>
      <x:c r="D294" t="str">
        <x:v>Oils &amp; Fats</x:v>
      </x:c>
      <x:c r="E294" t="str">
        <x:v>Active</x:v>
      </x:c>
      <x:c r="F294" t="n">
        <x:v>100</x:v>
      </x:c>
      <x:c r="G294" t="n">
        <x:v>86</x:v>
      </x:c>
      <x:c r="H294" s="22" t="n">
        <x:v>650</x:v>
      </x:c>
      <x:c r="I294" t="n">
        <x:v>94</x:v>
      </x:c>
      <x:c r="J294" t="n">
        <x:v>0</x:v>
      </x:c>
    </x:row>
    <x:row r="295" ht="18" customHeight="1">
      <x:c r="A295" t="str">
        <x:v>44-538-3366</x:v>
      </x:c>
      <x:c r="B295" t="str">
        <x:v>Tuna</x:v>
      </x:c>
      <x:c r="C295" t="str">
        <x:v>Realbridge</x:v>
      </x:c>
      <x:c r="D295" t="str">
        <x:v>Seafood</x:v>
      </x:c>
      <x:c r="E295" t="str">
        <x:v>Discontinued</x:v>
      </x:c>
      <x:c r="F295" t="n">
        <x:v>58</x:v>
      </x:c>
      <x:c r="G295" t="n">
        <x:v>77</x:v>
      </x:c>
      <x:c r="H295" s="22" t="n">
        <x:v>1044</x:v>
      </x:c>
      <x:c r="I295" t="n">
        <x:v>96</x:v>
      </x:c>
      <x:c r="J295" t="n">
        <x:v>0</x:v>
      </x:c>
    </x:row>
    <x:row r="296" ht="18" customHeight="1">
      <x:c r="A296" t="str">
        <x:v>34-075-0371</x:v>
      </x:c>
      <x:c r="B296" t="str">
        <x:v>Watermelon</x:v>
      </x:c>
      <x:c r="C296" t="str">
        <x:v>Latz</x:v>
      </x:c>
      <x:c r="D296" t="str">
        <x:v>Fruits &amp; Vegetables</x:v>
      </x:c>
      <x:c r="E296" t="str">
        <x:v>Active</x:v>
      </x:c>
      <x:c r="F296" t="n">
        <x:v>75</x:v>
      </x:c>
      <x:c r="G296" t="n">
        <x:v>10</x:v>
      </x:c>
      <x:c r="H296" s="22" t="n">
        <x:v>225</x:v>
      </x:c>
      <x:c r="I296" t="n">
        <x:v>68</x:v>
      </x:c>
      <x:c r="J296" t="n">
        <x:v>0</x:v>
      </x:c>
    </x:row>
    <x:row r="297" ht="18" customHeight="1">
      <x:c r="A297" t="str">
        <x:v>24-972-6969</x:v>
      </x:c>
      <x:c r="B297" t="str">
        <x:v>Cheese</x:v>
      </x:c>
      <x:c r="C297" t="str">
        <x:v>Twitterbeat</x:v>
      </x:c>
      <x:c r="D297" t="str">
        <x:v>Dairy</x:v>
      </x:c>
      <x:c r="E297" t="str">
        <x:v>Active</x:v>
      </x:c>
      <x:c r="F297" t="n">
        <x:v>69</x:v>
      </x:c>
      <x:c r="G297" t="n">
        <x:v>53</x:v>
      </x:c>
      <x:c r="H297" s="22" t="n">
        <x:v>634.8</x:v>
      </x:c>
      <x:c r="I297" t="n">
        <x:v>32</x:v>
      </x:c>
      <x:c r="J297" t="n">
        <x:v>0</x:v>
      </x:c>
    </x:row>
    <x:row r="298" ht="18" customHeight="1">
      <x:c r="A298" t="str">
        <x:v>92-455-2959</x:v>
      </x:c>
      <x:c r="B298" t="str">
        <x:v>Robusta Coffee</x:v>
      </x:c>
      <x:c r="C298" t="str">
        <x:v>Katz</x:v>
      </x:c>
      <x:c r="D298" t="str">
        <x:v>Beverages</x:v>
      </x:c>
      <x:c r="E298" t="str">
        <x:v>Backordered</x:v>
      </x:c>
      <x:c r="F298" t="n">
        <x:v>59</x:v>
      </x:c>
      <x:c r="G298" t="n">
        <x:v>62</x:v>
      </x:c>
      <x:c r="H298" s="22" t="n">
        <x:v>607.7</x:v>
      </x:c>
      <x:c r="I298" t="n">
        <x:v>57</x:v>
      </x:c>
      <x:c r="J298" t="n">
        <x:v>57</x:v>
      </x:c>
    </x:row>
    <x:row r="299" ht="18" customHeight="1">
      <x:c r="A299" t="str">
        <x:v>58-182-6781</x:v>
      </x:c>
      <x:c r="B299" t="str">
        <x:v>Oatmeal Biscuit</x:v>
      </x:c>
      <x:c r="C299" t="str">
        <x:v>Pixope</x:v>
      </x:c>
      <x:c r="D299" t="str">
        <x:v>Bakery</x:v>
      </x:c>
      <x:c r="E299" t="str">
        <x:v>Active</x:v>
      </x:c>
      <x:c r="F299" t="n">
        <x:v>34</x:v>
      </x:c>
      <x:c r="G299" t="n">
        <x:v>55</x:v>
      </x:c>
      <x:c r="H299" s="22" t="n">
        <x:v>170</x:v>
      </x:c>
      <x:c r="I299" t="n">
        <x:v>22</x:v>
      </x:c>
      <x:c r="J299" t="n">
        <x:v>22</x:v>
      </x:c>
    </x:row>
    <x:row r="300" ht="18" customHeight="1">
      <x:c r="A300" t="str">
        <x:v>42-134-9798</x:v>
      </x:c>
      <x:c r="B300" t="str">
        <x:v>Canola Oil</x:v>
      </x:c>
      <x:c r="C300" t="str">
        <x:v>Omba</x:v>
      </x:c>
      <x:c r="D300" t="str">
        <x:v>Oils &amp; Fats</x:v>
      </x:c>
      <x:c r="E300" t="str">
        <x:v>Backordered</x:v>
      </x:c>
      <x:c r="F300" t="n">
        <x:v>19</x:v>
      </x:c>
      <x:c r="G300" t="n">
        <x:v>80</x:v>
      </x:c>
      <x:c r="H300" s="22" t="n">
        <x:v>43.7</x:v>
      </x:c>
      <x:c r="I300" t="n">
        <x:v>87</x:v>
      </x:c>
      <x:c r="J300" t="n">
        <x:v>87</x:v>
      </x:c>
    </x:row>
    <x:row r="301" ht="18" customHeight="1">
      <x:c r="A301" t="str">
        <x:v>18-278-2383</x:v>
      </x:c>
      <x:c r="B301" t="str">
        <x:v>Gouda Cheese</x:v>
      </x:c>
      <x:c r="C301" t="str">
        <x:v>Skimia</x:v>
      </x:c>
      <x:c r="D301" t="str">
        <x:v>Dairy</x:v>
      </x:c>
      <x:c r="E301" t="str">
        <x:v>Backordered</x:v>
      </x:c>
      <x:c r="F301" t="n">
        <x:v>97</x:v>
      </x:c>
      <x:c r="G301" t="n">
        <x:v>77</x:v>
      </x:c>
      <x:c r="H301" s="22" t="n">
        <x:v>679</x:v>
      </x:c>
      <x:c r="I301" t="n">
        <x:v>13</x:v>
      </x:c>
      <x:c r="J301" t="n">
        <x:v>0</x:v>
      </x:c>
    </x:row>
    <x:row r="302" ht="18" customHeight="1">
      <x:c r="A302" t="str">
        <x:v>03-597-9488</x:v>
      </x:c>
      <x:c r="B302" t="str">
        <x:v>Buttermilk</x:v>
      </x:c>
      <x:c r="C302" t="str">
        <x:v>Wordpedia</x:v>
      </x:c>
      <x:c r="D302" t="str">
        <x:v>Dairy</x:v>
      </x:c>
      <x:c r="E302" t="str">
        <x:v>Active</x:v>
      </x:c>
      <x:c r="F302" t="n">
        <x:v>70</x:v>
      </x:c>
      <x:c r="G302" t="n">
        <x:v>66</x:v>
      </x:c>
      <x:c r="H302" s="22" t="n">
        <x:v>175</x:v>
      </x:c>
      <x:c r="I302" t="n">
        <x:v>74</x:v>
      </x:c>
      <x:c r="J302" t="n">
        <x:v>0</x:v>
      </x:c>
    </x:row>
    <x:row r="303" ht="18" customHeight="1">
      <x:c r="A303" t="str">
        <x:v>14-681-7035</x:v>
      </x:c>
      <x:c r="B303" t="str">
        <x:v>White Tea</x:v>
      </x:c>
      <x:c r="C303" t="str">
        <x:v>Voolith</x:v>
      </x:c>
      <x:c r="D303" t="str">
        <x:v>Beverages</x:v>
      </x:c>
      <x:c r="E303" t="str">
        <x:v>Backordered</x:v>
      </x:c>
      <x:c r="F303" t="n">
        <x:v>36</x:v>
      </x:c>
      <x:c r="G303" t="n">
        <x:v>90</x:v>
      </x:c>
      <x:c r="H303" s="22" t="n">
        <x:v>900</x:v>
      </x:c>
      <x:c r="I303" t="n">
        <x:v>57</x:v>
      </x:c>
      <x:c r="J303" t="n">
        <x:v>57</x:v>
      </x:c>
    </x:row>
    <x:row r="304" ht="18" customHeight="1">
      <x:c r="A304" t="str">
        <x:v>01-439-6231</x:v>
      </x:c>
      <x:c r="B304" t="str">
        <x:v>Sunflower Oil</x:v>
      </x:c>
      <x:c r="C304" t="str">
        <x:v>Skidoo</x:v>
      </x:c>
      <x:c r="D304" t="str">
        <x:v>Oils &amp; Fats</x:v>
      </x:c>
      <x:c r="E304" t="str">
        <x:v>Discontinued</x:v>
      </x:c>
      <x:c r="F304" t="n">
        <x:v>88</x:v>
      </x:c>
      <x:c r="G304" t="n">
        <x:v>100</x:v>
      </x:c>
      <x:c r="H304" s="22" t="n">
        <x:v>220</x:v>
      </x:c>
      <x:c r="I304" t="n">
        <x:v>17</x:v>
      </x:c>
      <x:c r="J304" t="n">
        <x:v>0</x:v>
      </x:c>
    </x:row>
    <x:row r="305" ht="18" customHeight="1">
      <x:c r="A305" t="str">
        <x:v>25-911-7736</x:v>
      </x:c>
      <x:c r="B305" t="str">
        <x:v>Orange</x:v>
      </x:c>
      <x:c r="C305" t="str">
        <x:v>Oba</x:v>
      </x:c>
      <x:c r="D305" t="str">
        <x:v>Fruits &amp; Vegetables</x:v>
      </x:c>
      <x:c r="E305" t="str">
        <x:v>Backordered</x:v>
      </x:c>
      <x:c r="F305" t="n">
        <x:v>75</x:v>
      </x:c>
      <x:c r="G305" t="n">
        <x:v>48</x:v>
      </x:c>
      <x:c r="H305" s="22" t="n">
        <x:v>225</x:v>
      </x:c>
      <x:c r="I305" t="n">
        <x:v>25</x:v>
      </x:c>
      <x:c r="J305" t="n">
        <x:v>0</x:v>
      </x:c>
    </x:row>
    <x:row r="306" ht="18" customHeight="1">
      <x:c r="A306" t="str">
        <x:v>36-918-2937</x:v>
      </x:c>
      <x:c r="B306" t="str">
        <x:v>Green Coffee</x:v>
      </x:c>
      <x:c r="C306" t="str">
        <x:v>Kwinu</x:v>
      </x:c>
      <x:c r="D306" t="str">
        <x:v>Beverages</x:v>
      </x:c>
      <x:c r="E306" t="str">
        <x:v>Active</x:v>
      </x:c>
      <x:c r="F306" t="n">
        <x:v>62</x:v>
      </x:c>
      <x:c r="G306" t="n">
        <x:v>89</x:v>
      </x:c>
      <x:c r="H306" s="22" t="n">
        <x:v>744</x:v>
      </x:c>
      <x:c r="I306" t="n">
        <x:v>18</x:v>
      </x:c>
      <x:c r="J306" t="n">
        <x:v>27</x:v>
      </x:c>
    </x:row>
    <x:row r="307" ht="18" customHeight="1">
      <x:c r="A307" t="str">
        <x:v>37-666-3902</x:v>
      </x:c>
      <x:c r="B307" t="str">
        <x:v>Cauliflower</x:v>
      </x:c>
      <x:c r="C307" t="str">
        <x:v>Meevee</x:v>
      </x:c>
      <x:c r="D307" t="str">
        <x:v>Fruits &amp; Vegetables</x:v>
      </x:c>
      <x:c r="E307" t="str">
        <x:v>Backordered</x:v>
      </x:c>
      <x:c r="F307" t="n">
        <x:v>19</x:v>
      </x:c>
      <x:c r="G307" t="n">
        <x:v>73</x:v>
      </x:c>
      <x:c r="H307" s="22" t="n">
        <x:v>46.55</x:v>
      </x:c>
      <x:c r="I307" t="n">
        <x:v>60</x:v>
      </x:c>
      <x:c r="J307" t="n">
        <x:v>60</x:v>
      </x:c>
    </x:row>
    <x:row r="308" ht="18" customHeight="1">
      <x:c r="A308" t="str">
        <x:v>27-757-4489</x:v>
      </x:c>
      <x:c r="B308" t="str">
        <x:v>Egg (Goose)</x:v>
      </x:c>
      <x:c r="C308" t="str">
        <x:v>Abatz</x:v>
      </x:c>
      <x:c r="D308" t="str">
        <x:v>Dairy</x:v>
      </x:c>
      <x:c r="E308" t="str">
        <x:v>Discontinued</x:v>
      </x:c>
      <x:c r="F308" t="n">
        <x:v>35</x:v>
      </x:c>
      <x:c r="G308" t="n">
        <x:v>78</x:v>
      </x:c>
      <x:c r="H308" s="22" t="n">
        <x:v>87.5</x:v>
      </x:c>
      <x:c r="I308" t="n">
        <x:v>68</x:v>
      </x:c>
      <x:c r="J308" t="n">
        <x:v>0</x:v>
      </x:c>
    </x:row>
    <x:row r="309" ht="18" customHeight="1">
      <x:c r="A309" t="str">
        <x:v>97-040-3822</x:v>
      </x:c>
      <x:c r="B309" t="str">
        <x:v>Swiss Cheese</x:v>
      </x:c>
      <x:c r="C309" t="str">
        <x:v>Gevee</x:v>
      </x:c>
      <x:c r="D309" t="str">
        <x:v>Dairy</x:v>
      </x:c>
      <x:c r="E309" t="str">
        <x:v>Backordered</x:v>
      </x:c>
      <x:c r="F309" t="n">
        <x:v>50</x:v>
      </x:c>
      <x:c r="G309" t="n">
        <x:v>99</x:v>
      </x:c>
      <x:c r="H309" s="22" t="n">
        <x:v>400</x:v>
      </x:c>
      <x:c r="I309" t="n">
        <x:v>73</x:v>
      </x:c>
      <x:c r="J309" t="n">
        <x:v>73</x:v>
      </x:c>
    </x:row>
    <x:row r="310" ht="18" customHeight="1">
      <x:c r="A310" t="str">
        <x:v>98-445-7372</x:v>
      </x:c>
      <x:c r="B310" t="str">
        <x:v>Cod</x:v>
      </x:c>
      <x:c r="C310" t="str">
        <x:v>Roombo</x:v>
      </x:c>
      <x:c r="D310" t="str">
        <x:v>Seafood</x:v>
      </x:c>
      <x:c r="E310" t="str">
        <x:v>Discontinued</x:v>
      </x:c>
      <x:c r="F310" t="n">
        <x:v>65</x:v>
      </x:c>
      <x:c r="G310" t="n">
        <x:v>79</x:v>
      </x:c>
      <x:c r="H310" s="22" t="n">
        <x:v>520</x:v>
      </x:c>
      <x:c r="I310" t="n">
        <x:v>52</x:v>
      </x:c>
      <x:c r="J310" t="n">
        <x:v>0</x:v>
      </x:c>
    </x:row>
    <x:row r="311" ht="18" customHeight="1">
      <x:c r="A311" t="str">
        <x:v>92-152-5820</x:v>
      </x:c>
      <x:c r="B311" t="str">
        <x:v>Black Tea</x:v>
      </x:c>
      <x:c r="C311" t="str">
        <x:v>Jaloo</x:v>
      </x:c>
      <x:c r="D311" t="str">
        <x:v>Beverages</x:v>
      </x:c>
      <x:c r="E311" t="str">
        <x:v>Active</x:v>
      </x:c>
      <x:c r="F311" t="n">
        <x:v>18</x:v>
      </x:c>
      <x:c r="G311" t="n">
        <x:v>36</x:v>
      </x:c>
      <x:c r="H311" s="22" t="n">
        <x:v>95.4</x:v>
      </x:c>
      <x:c r="I311" t="n">
        <x:v>53</x:v>
      </x:c>
      <x:c r="J311" t="n">
        <x:v>53</x:v>
      </x:c>
    </x:row>
    <x:row r="312" ht="18" customHeight="1">
      <x:c r="A312" t="str">
        <x:v>24-986-5091</x:v>
      </x:c>
      <x:c r="B312" t="str">
        <x:v>Vanilla Biscuit</x:v>
      </x:c>
      <x:c r="C312" t="str">
        <x:v>Ozu</x:v>
      </x:c>
      <x:c r="D312" t="str">
        <x:v>Bakery</x:v>
      </x:c>
      <x:c r="E312" t="str">
        <x:v>Discontinued</x:v>
      </x:c>
      <x:c r="F312" t="n">
        <x:v>89</x:v>
      </x:c>
      <x:c r="G312" t="n">
        <x:v>22</x:v>
      </x:c>
      <x:c r="H312" s="22" t="n">
        <x:v>489.5</x:v>
      </x:c>
      <x:c r="I312" t="n">
        <x:v>23</x:v>
      </x:c>
      <x:c r="J312" t="n">
        <x:v>0</x:v>
      </x:c>
    </x:row>
    <x:row r="313" ht="18" customHeight="1">
      <x:c r="A313" t="str">
        <x:v>22-849-2551</x:v>
      </x:c>
      <x:c r="B313" t="str">
        <x:v>Mushrooms</x:v>
      </x:c>
      <x:c r="C313" t="str">
        <x:v>Izio</x:v>
      </x:c>
      <x:c r="D313" t="str">
        <x:v>Fruits &amp; Vegetables</x:v>
      </x:c>
      <x:c r="E313" t="str">
        <x:v>Discontinued</x:v>
      </x:c>
      <x:c r="F313" t="n">
        <x:v>34</x:v>
      </x:c>
      <x:c r="G313" t="n">
        <x:v>1</x:v>
      </x:c>
      <x:c r="H313" s="22" t="n">
        <x:v>210.8</x:v>
      </x:c>
      <x:c r="I313" t="n">
        <x:v>79</x:v>
      </x:c>
      <x:c r="J313" t="n">
        <x:v>0</x:v>
      </x:c>
    </x:row>
    <x:row r="314" ht="18" customHeight="1">
      <x:c r="A314" t="str">
        <x:v>15-169-8058</x:v>
      </x:c>
      <x:c r="B314" t="str">
        <x:v>Bread Flour</x:v>
      </x:c>
      <x:c r="C314" t="str">
        <x:v>Feedfire</x:v>
      </x:c>
      <x:c r="D314" t="str">
        <x:v>Grains &amp; Pulses</x:v>
      </x:c>
      <x:c r="E314" t="str">
        <x:v>Active</x:v>
      </x:c>
      <x:c r="F314" t="n">
        <x:v>87</x:v>
      </x:c>
      <x:c r="G314" t="n">
        <x:v>97</x:v>
      </x:c>
      <x:c r="H314" s="22" t="n">
        <x:v>130.5</x:v>
      </x:c>
      <x:c r="I314" t="n">
        <x:v>28</x:v>
      </x:c>
      <x:c r="J314" t="n">
        <x:v>28</x:v>
      </x:c>
    </x:row>
    <x:row r="315" ht="18" customHeight="1">
      <x:c r="A315" t="str">
        <x:v>78-953-2073</x:v>
      </x:c>
      <x:c r="B315" t="str">
        <x:v>Canola Oil</x:v>
      </x:c>
      <x:c r="C315" t="str">
        <x:v>Tagopia</x:v>
      </x:c>
      <x:c r="D315" t="str">
        <x:v>Oils &amp; Fats</x:v>
      </x:c>
      <x:c r="E315" t="str">
        <x:v>Backordered</x:v>
      </x:c>
      <x:c r="F315" t="n">
        <x:v>53</x:v>
      </x:c>
      <x:c r="G315" t="n">
        <x:v>20</x:v>
      </x:c>
      <x:c r="H315" s="22" t="n">
        <x:v>121.9</x:v>
      </x:c>
      <x:c r="I315" t="n">
        <x:v>75</x:v>
      </x:c>
      <x:c r="J315" t="n">
        <x:v>0</x:v>
      </x:c>
    </x:row>
    <x:row r="316" ht="18" customHeight="1">
      <x:c r="A316" t="str">
        <x:v>10-255-8579</x:v>
      </x:c>
      <x:c r="B316" t="str">
        <x:v>Basmati Rice</x:v>
      </x:c>
      <x:c r="C316" t="str">
        <x:v>Trilia</x:v>
      </x:c>
      <x:c r="D316" t="str">
        <x:v>Grains &amp; Pulses</x:v>
      </x:c>
      <x:c r="E316" t="str">
        <x:v>Active</x:v>
      </x:c>
      <x:c r="F316" t="n">
        <x:v>56</x:v>
      </x:c>
      <x:c r="G316" t="n">
        <x:v>53</x:v>
      </x:c>
      <x:c r="H316" s="22" t="n">
        <x:v>252</x:v>
      </x:c>
      <x:c r="I316" t="n">
        <x:v>77</x:v>
      </x:c>
      <x:c r="J316" t="n">
        <x:v>0</x:v>
      </x:c>
    </x:row>
    <x:row r="317" ht="18" customHeight="1">
      <x:c r="A317" t="str">
        <x:v>82-948-2298</x:v>
      </x:c>
      <x:c r="B317" t="str">
        <x:v>Kiwi</x:v>
      </x:c>
      <x:c r="C317" t="str">
        <x:v>Topdrive</x:v>
      </x:c>
      <x:c r="D317" t="str">
        <x:v>Fruits &amp; Vegetables</x:v>
      </x:c>
      <x:c r="E317" t="str">
        <x:v>Discontinued</x:v>
      </x:c>
      <x:c r="F317" t="n">
        <x:v>38</x:v>
      </x:c>
      <x:c r="G317" t="n">
        <x:v>91</x:v>
      </x:c>
      <x:c r="H317" s="22" t="n">
        <x:v>216.6</x:v>
      </x:c>
      <x:c r="I317" t="n">
        <x:v>94</x:v>
      </x:c>
      <x:c r="J317" t="n">
        <x:v>0</x:v>
      </x:c>
    </x:row>
    <x:row r="318" ht="18" customHeight="1">
      <x:c r="A318" t="str">
        <x:v>60-747-8704</x:v>
      </x:c>
      <x:c r="B318" t="str">
        <x:v>Papaya</x:v>
      </x:c>
      <x:c r="C318" t="str">
        <x:v>Twitterwire</x:v>
      </x:c>
      <x:c r="D318" t="str">
        <x:v>Fruits &amp; Vegetables</x:v>
      </x:c>
      <x:c r="E318" t="str">
        <x:v>Active</x:v>
      </x:c>
      <x:c r="F318" t="n">
        <x:v>97</x:v>
      </x:c>
      <x:c r="G318" t="n">
        <x:v>97</x:v>
      </x:c>
      <x:c r="H318" s="22" t="n">
        <x:v>436.5</x:v>
      </x:c>
      <x:c r="I318" t="n">
        <x:v>71</x:v>
      </x:c>
      <x:c r="J318" t="n">
        <x:v>0</x:v>
      </x:c>
    </x:row>
    <x:row r="319" ht="18" customHeight="1">
      <x:c r="A319" t="str">
        <x:v>40-462-2952</x:v>
      </x:c>
      <x:c r="B319" t="str">
        <x:v>Trout</x:v>
      </x:c>
      <x:c r="C319" t="str">
        <x:v>Browsezoom</x:v>
      </x:c>
      <x:c r="D319" t="str">
        <x:v>Seafood</x:v>
      </x:c>
      <x:c r="E319" t="str">
        <x:v>Backordered</x:v>
      </x:c>
      <x:c r="F319" t="n">
        <x:v>91</x:v>
      </x:c>
      <x:c r="G319" t="n">
        <x:v>68</x:v>
      </x:c>
      <x:c r="H319" s="22" t="n">
        <x:v>1046.5</x:v>
      </x:c>
      <x:c r="I319" t="n">
        <x:v>80</x:v>
      </x:c>
      <x:c r="J319" t="n">
        <x:v>0</x:v>
      </x:c>
    </x:row>
    <x:row r="320" ht="18" customHeight="1">
      <x:c r="A320" t="str">
        <x:v>98-235-2711</x:v>
      </x:c>
      <x:c r="B320" t="str">
        <x:v>Asparagus</x:v>
      </x:c>
      <x:c r="C320" t="str">
        <x:v>Devpoint</x:v>
      </x:c>
      <x:c r="D320" t="str">
        <x:v>Fruits &amp; Vegetables</x:v>
      </x:c>
      <x:c r="E320" t="str">
        <x:v>Active</x:v>
      </x:c>
      <x:c r="F320" t="n">
        <x:v>22</x:v>
      </x:c>
      <x:c r="G320" t="n">
        <x:v>40</x:v>
      </x:c>
      <x:c r="H320" s="22" t="n">
        <x:v>110</x:v>
      </x:c>
      <x:c r="I320" t="n">
        <x:v>7</x:v>
      </x:c>
      <x:c r="J320" t="n">
        <x:v>18</x:v>
      </x:c>
    </x:row>
    <x:row r="321" ht="18" customHeight="1">
      <x:c r="A321" t="str">
        <x:v>83-108-1174</x:v>
      </x:c>
      <x:c r="B321" t="str">
        <x:v>White Bread</x:v>
      </x:c>
      <x:c r="C321" t="str">
        <x:v>Devpoint</x:v>
      </x:c>
      <x:c r="D321" t="str">
        <x:v>Bakery</x:v>
      </x:c>
      <x:c r="E321" t="str">
        <x:v>Backordered</x:v>
      </x:c>
      <x:c r="F321" t="n">
        <x:v>78</x:v>
      </x:c>
      <x:c r="G321" t="n">
        <x:v>68</x:v>
      </x:c>
      <x:c r="H321" s="22" t="n">
        <x:v>195</x:v>
      </x:c>
      <x:c r="I321" t="n">
        <x:v>68</x:v>
      </x:c>
      <x:c r="J321" t="n">
        <x:v>0</x:v>
      </x:c>
    </x:row>
    <x:row r="322" ht="18" customHeight="1">
      <x:c r="A322" t="str">
        <x:v>28-505-8317</x:v>
      </x:c>
      <x:c r="B322" t="str">
        <x:v>Watermelon</x:v>
      </x:c>
      <x:c r="C322" t="str">
        <x:v>Digitube</x:v>
      </x:c>
      <x:c r="D322" t="str">
        <x:v>Fruits &amp; Vegetables</x:v>
      </x:c>
      <x:c r="E322" t="str">
        <x:v>Backordered</x:v>
      </x:c>
      <x:c r="F322" t="n">
        <x:v>23</x:v>
      </x:c>
      <x:c r="G322" t="n">
        <x:v>85</x:v>
      </x:c>
      <x:c r="H322" s="22" t="n">
        <x:v>69</x:v>
      </x:c>
      <x:c r="I322" t="n">
        <x:v>94</x:v>
      </x:c>
      <x:c r="J322" t="n">
        <x:v>94</x:v>
      </x:c>
    </x:row>
    <x:row r="323" ht="18" customHeight="1">
      <x:c r="A323" t="str">
        <x:v>31-803-5001</x:v>
      </x:c>
      <x:c r="B323" t="str">
        <x:v>Asparagus</x:v>
      </x:c>
      <x:c r="C323" t="str">
        <x:v>Voonder</x:v>
      </x:c>
      <x:c r="D323" t="str">
        <x:v>Fruits &amp; Vegetables</x:v>
      </x:c>
      <x:c r="E323" t="str">
        <x:v>Backordered</x:v>
      </x:c>
      <x:c r="F323" t="n">
        <x:v>78</x:v>
      </x:c>
      <x:c r="G323" t="n">
        <x:v>16</x:v>
      </x:c>
      <x:c r="H323" s="22" t="n">
        <x:v>366.6</x:v>
      </x:c>
      <x:c r="I323" t="n">
        <x:v>37</x:v>
      </x:c>
      <x:c r="J323" t="n">
        <x:v>0</x:v>
      </x:c>
    </x:row>
    <x:row r="324" ht="18" customHeight="1">
      <x:c r="A324" t="str">
        <x:v>17-236-0566</x:v>
      </x:c>
      <x:c r="B324" t="str">
        <x:v>Sweet Potato</x:v>
      </x:c>
      <x:c r="C324" t="str">
        <x:v>Einti</x:v>
      </x:c>
      <x:c r="D324" t="str">
        <x:v>Fruits &amp; Vegetables</x:v>
      </x:c>
      <x:c r="E324" t="str">
        <x:v>Backordered</x:v>
      </x:c>
      <x:c r="F324" t="n">
        <x:v>95</x:v>
      </x:c>
      <x:c r="G324" t="n">
        <x:v>87</x:v>
      </x:c>
      <x:c r="H324" s="22" t="n">
        <x:v>190</x:v>
      </x:c>
      <x:c r="I324" t="n">
        <x:v>13</x:v>
      </x:c>
      <x:c r="J324" t="n">
        <x:v>0</x:v>
      </x:c>
    </x:row>
    <x:row r="325" ht="18" customHeight="1">
      <x:c r="A325" t="str">
        <x:v>76-090-4411</x:v>
      </x:c>
      <x:c r="B325" t="str">
        <x:v>Ricotta Cheese</x:v>
      </x:c>
      <x:c r="C325" t="str">
        <x:v>Shufflester</x:v>
      </x:c>
      <x:c r="D325" t="str">
        <x:v>Dairy</x:v>
      </x:c>
      <x:c r="E325" t="str">
        <x:v>Active</x:v>
      </x:c>
      <x:c r="F325" t="n">
        <x:v>49</x:v>
      </x:c>
      <x:c r="G325" t="n">
        <x:v>94</x:v>
      </x:c>
      <x:c r="H325" s="22" t="n">
        <x:v>294</x:v>
      </x:c>
      <x:c r="I325" t="n">
        <x:v>18</x:v>
      </x:c>
      <x:c r="J325" t="n">
        <x:v>45</x:v>
      </x:c>
    </x:row>
    <x:row r="326" ht="18" customHeight="1">
      <x:c r="A326" t="str">
        <x:v>43-910-2342</x:v>
      </x:c>
      <x:c r="B326" t="str">
        <x:v>Plum</x:v>
      </x:c>
      <x:c r="C326" t="str">
        <x:v>Feedspan</x:v>
      </x:c>
      <x:c r="D326" t="str">
        <x:v>Fruits &amp; Vegetables</x:v>
      </x:c>
      <x:c r="E326" t="str">
        <x:v>Active</x:v>
      </x:c>
      <x:c r="F326" t="n">
        <x:v>26</x:v>
      </x:c>
      <x:c r="G326" t="n">
        <x:v>69</x:v>
      </x:c>
      <x:c r="H326" s="22" t="n">
        <x:v>104</x:v>
      </x:c>
      <x:c r="I326" t="n">
        <x:v>90</x:v>
      </x:c>
      <x:c r="J326" t="n">
        <x:v>90</x:v>
      </x:c>
    </x:row>
    <x:row r="327" ht="18" customHeight="1">
      <x:c r="A327" t="str">
        <x:v>05-425-0746</x:v>
      </x:c>
      <x:c r="B327" t="str">
        <x:v>Onion</x:v>
      </x:c>
      <x:c r="C327" t="str">
        <x:v>Gabspot</x:v>
      </x:c>
      <x:c r="D327" t="str">
        <x:v>Fruits &amp; Vegetables</x:v>
      </x:c>
      <x:c r="E327" t="str">
        <x:v>Discontinued</x:v>
      </x:c>
      <x:c r="F327" t="n">
        <x:v>50</x:v>
      </x:c>
      <x:c r="G327" t="n">
        <x:v>68</x:v>
      </x:c>
      <x:c r="H327" s="22" t="n">
        <x:v>100</x:v>
      </x:c>
      <x:c r="I327" t="n">
        <x:v>90</x:v>
      </x:c>
      <x:c r="J327" t="n">
        <x:v>0</x:v>
      </x:c>
    </x:row>
    <x:row r="328" ht="18" customHeight="1">
      <x:c r="A328" t="str">
        <x:v>93-815-0565</x:v>
      </x:c>
      <x:c r="B328" t="str">
        <x:v>Sesame Oil</x:v>
      </x:c>
      <x:c r="C328" t="str">
        <x:v>Jaxworks</x:v>
      </x:c>
      <x:c r="D328" t="str">
        <x:v>Oils &amp; Fats</x:v>
      </x:c>
      <x:c r="E328" t="str">
        <x:v>Backordered</x:v>
      </x:c>
      <x:c r="F328" t="n">
        <x:v>50</x:v>
      </x:c>
      <x:c r="G328" t="n">
        <x:v>36</x:v>
      </x:c>
      <x:c r="H328" s="22" t="n">
        <x:v>325</x:v>
      </x:c>
      <x:c r="I328" t="n">
        <x:v>96</x:v>
      </x:c>
      <x:c r="J328" t="n">
        <x:v>0</x:v>
      </x:c>
    </x:row>
    <x:row r="329" ht="18" customHeight="1">
      <x:c r="A329" t="str">
        <x:v>67-270-7464</x:v>
      </x:c>
      <x:c r="B329" t="str">
        <x:v>Jasmine Rice</x:v>
      </x:c>
      <x:c r="C329" t="str">
        <x:v>Yadel</x:v>
      </x:c>
      <x:c r="D329" t="str">
        <x:v>Grains &amp; Pulses</x:v>
      </x:c>
      <x:c r="E329" t="str">
        <x:v>Discontinued</x:v>
      </x:c>
      <x:c r="F329" t="n">
        <x:v>91</x:v>
      </x:c>
      <x:c r="G329" t="n">
        <x:v>73</x:v>
      </x:c>
      <x:c r="H329" s="22" t="n">
        <x:v>432.25</x:v>
      </x:c>
      <x:c r="I329" t="n">
        <x:v>77</x:v>
      </x:c>
      <x:c r="J329" t="n">
        <x:v>0</x:v>
      </x:c>
    </x:row>
    <x:row r="330" ht="18" customHeight="1">
      <x:c r="A330" t="str">
        <x:v>61-827-4098</x:v>
      </x:c>
      <x:c r="B330" t="str">
        <x:v>Cod</x:v>
      </x:c>
      <x:c r="C330" t="str">
        <x:v>Devbug</x:v>
      </x:c>
      <x:c r="D330" t="str">
        <x:v>Seafood</x:v>
      </x:c>
      <x:c r="E330" t="str">
        <x:v>Backordered</x:v>
      </x:c>
      <x:c r="F330" t="n">
        <x:v>23</x:v>
      </x:c>
      <x:c r="G330" t="n">
        <x:v>42</x:v>
      </x:c>
      <x:c r="H330" s="22" t="n">
        <x:v>184</x:v>
      </x:c>
      <x:c r="I330" t="n">
        <x:v>87</x:v>
      </x:c>
      <x:c r="J330" t="n">
        <x:v>87</x:v>
      </x:c>
    </x:row>
    <x:row r="331" ht="18" customHeight="1">
      <x:c r="A331" t="str">
        <x:v>92-291-7089</x:v>
      </x:c>
      <x:c r="B331" t="str">
        <x:v>Cheese</x:v>
      </x:c>
      <x:c r="C331" t="str">
        <x:v>Jaxspan</x:v>
      </x:c>
      <x:c r="D331" t="str">
        <x:v>Dairy</x:v>
      </x:c>
      <x:c r="E331" t="str">
        <x:v>Discontinued</x:v>
      </x:c>
      <x:c r="F331" t="n">
        <x:v>76</x:v>
      </x:c>
      <x:c r="G331" t="n">
        <x:v>15</x:v>
      </x:c>
      <x:c r="H331" s="22" t="n">
        <x:v>722</x:v>
      </x:c>
      <x:c r="I331" t="n">
        <x:v>99</x:v>
      </x:c>
      <x:c r="J331" t="n">
        <x:v>0</x:v>
      </x:c>
    </x:row>
    <x:row r="332" ht="18" customHeight="1">
      <x:c r="A332" t="str">
        <x:v>76-070-1411</x:v>
      </x:c>
      <x:c r="B332" t="str">
        <x:v>Evaporated Milk</x:v>
      </x:c>
      <x:c r="C332" t="str">
        <x:v>Realcube</x:v>
      </x:c>
      <x:c r="D332" t="str">
        <x:v>Dairy</x:v>
      </x:c>
      <x:c r="E332" t="str">
        <x:v>Discontinued</x:v>
      </x:c>
      <x:c r="F332" t="n">
        <x:v>15</x:v>
      </x:c>
      <x:c r="G332" t="n">
        <x:v>75</x:v>
      </x:c>
      <x:c r="H332" s="22" t="n">
        <x:v>28.5</x:v>
      </x:c>
      <x:c r="I332" t="n">
        <x:v>78</x:v>
      </x:c>
      <x:c r="J332" t="n">
        <x:v>0</x:v>
      </x:c>
    </x:row>
    <x:row r="333" ht="18" customHeight="1">
      <x:c r="A333" t="str">
        <x:v>36-330-5036</x:v>
      </x:c>
      <x:c r="B333" t="str">
        <x:v>Salmon</x:v>
      </x:c>
      <x:c r="C333" t="str">
        <x:v>Mycat</x:v>
      </x:c>
      <x:c r="D333" t="str">
        <x:v>Seafood</x:v>
      </x:c>
      <x:c r="E333" t="str">
        <x:v>Active</x:v>
      </x:c>
      <x:c r="F333" t="n">
        <x:v>79</x:v>
      </x:c>
      <x:c r="G333" t="n">
        <x:v>28</x:v>
      </x:c>
      <x:c r="H333" s="22" t="n">
        <x:v>1185</x:v>
      </x:c>
      <x:c r="I333" t="n">
        <x:v>4</x:v>
      </x:c>
      <x:c r="J333" t="n">
        <x:v>0</x:v>
      </x:c>
    </x:row>
    <x:row r="334" ht="18" customHeight="1">
      <x:c r="A334" t="str">
        <x:v>02-034-6209</x:v>
      </x:c>
      <x:c r="B334" t="str">
        <x:v>Sour Cream</x:v>
      </x:c>
      <x:c r="C334" t="str">
        <x:v>Yodel</x:v>
      </x:c>
      <x:c r="D334" t="str">
        <x:v>Dairy</x:v>
      </x:c>
      <x:c r="E334" t="str">
        <x:v>Backordered</x:v>
      </x:c>
      <x:c r="F334" t="n">
        <x:v>22</x:v>
      </x:c>
      <x:c r="G334" t="n">
        <x:v>43</x:v>
      </x:c>
      <x:c r="H334" s="22" t="n">
        <x:v>90.2</x:v>
      </x:c>
      <x:c r="I334" t="n">
        <x:v>3</x:v>
      </x:c>
      <x:c r="J334" t="n">
        <x:v>21</x:v>
      </x:c>
    </x:row>
    <x:row r="335" ht="18" customHeight="1">
      <x:c r="A335" t="str">
        <x:v>49-891-4927</x:v>
      </x:c>
      <x:c r="B335" t="str">
        <x:v>Cottage Cheese</x:v>
      </x:c>
      <x:c r="C335" t="str">
        <x:v>Midel</x:v>
      </x:c>
      <x:c r="D335" t="str">
        <x:v>Dairy</x:v>
      </x:c>
      <x:c r="E335" t="str">
        <x:v>Active</x:v>
      </x:c>
      <x:c r="F335" t="n">
        <x:v>37</x:v>
      </x:c>
      <x:c r="G335" t="n">
        <x:v>5</x:v>
      </x:c>
      <x:c r="H335" s="22" t="n">
        <x:v>185</x:v>
      </x:c>
      <x:c r="I335" t="n">
        <x:v>1</x:v>
      </x:c>
      <x:c r="J335" t="n">
        <x:v>0</x:v>
      </x:c>
    </x:row>
    <x:row r="336" ht="18" customHeight="1">
      <x:c r="A336" t="str">
        <x:v>94-020-6982</x:v>
      </x:c>
      <x:c r="B336" t="str">
        <x:v>Tuna</x:v>
      </x:c>
      <x:c r="C336" t="str">
        <x:v>Thoughtstorm</x:v>
      </x:c>
      <x:c r="D336" t="str">
        <x:v>Seafood</x:v>
      </x:c>
      <x:c r="E336" t="str">
        <x:v>Active</x:v>
      </x:c>
      <x:c r="F336" t="n">
        <x:v>25</x:v>
      </x:c>
      <x:c r="G336" t="n">
        <x:v>75</x:v>
      </x:c>
      <x:c r="H336" s="22" t="n">
        <x:v>450</x:v>
      </x:c>
      <x:c r="I336" t="n">
        <x:v>27</x:v>
      </x:c>
      <x:c r="J336" t="n">
        <x:v>50</x:v>
      </x:c>
    </x:row>
    <x:row r="337" ht="18" customHeight="1">
      <x:c r="A337" t="str">
        <x:v>88-807-8431</x:v>
      </x:c>
      <x:c r="B337" t="str">
        <x:v>Haddock</x:v>
      </x:c>
      <x:c r="C337" t="str">
        <x:v>Eire</x:v>
      </x:c>
      <x:c r="D337" t="str">
        <x:v>Seafood</x:v>
      </x:c>
      <x:c r="E337" t="str">
        <x:v>Active</x:v>
      </x:c>
      <x:c r="F337" t="n">
        <x:v>11</x:v>
      </x:c>
      <x:c r="G337" t="n">
        <x:v>87</x:v>
      </x:c>
      <x:c r="H337" s="22" t="n">
        <x:v>99</x:v>
      </x:c>
      <x:c r="I337" t="n">
        <x:v>43</x:v>
      </x:c>
      <x:c r="J337" t="n">
        <x:v>76</x:v>
      </x:c>
    </x:row>
    <x:row r="338" ht="18" customHeight="1">
      <x:c r="A338" t="str">
        <x:v>19-672-8982</x:v>
      </x:c>
      <x:c r="B338" t="str">
        <x:v>Butter</x:v>
      </x:c>
      <x:c r="C338" t="str">
        <x:v>Meembee</x:v>
      </x:c>
      <x:c r="D338" t="str">
        <x:v>Dairy</x:v>
      </x:c>
      <x:c r="E338" t="str">
        <x:v>Discontinued</x:v>
      </x:c>
      <x:c r="F338" t="n">
        <x:v>21</x:v>
      </x:c>
      <x:c r="G338" t="n">
        <x:v>87</x:v>
      </x:c>
      <x:c r="H338" s="22" t="n">
        <x:v>65.1</x:v>
      </x:c>
      <x:c r="I338" t="n">
        <x:v>67</x:v>
      </x:c>
      <x:c r="J338" t="n">
        <x:v>0</x:v>
      </x:c>
    </x:row>
    <x:row r="339" ht="18" customHeight="1">
      <x:c r="A339" t="str">
        <x:v>07-389-5740</x:v>
      </x:c>
      <x:c r="B339" t="str">
        <x:v>Egg (Quail)</x:v>
      </x:c>
      <x:c r="C339" t="str">
        <x:v>Skimia</x:v>
      </x:c>
      <x:c r="D339" t="str">
        <x:v>Dairy</x:v>
      </x:c>
      <x:c r="E339" t="str">
        <x:v>Backordered</x:v>
      </x:c>
      <x:c r="F339" t="n">
        <x:v>34</x:v>
      </x:c>
      <x:c r="G339" t="n">
        <x:v>94</x:v>
      </x:c>
      <x:c r="H339" s="22" t="n">
        <x:v>27.2</x:v>
      </x:c>
      <x:c r="I339" t="n">
        <x:v>69</x:v>
      </x:c>
      <x:c r="J339" t="n">
        <x:v>69</x:v>
      </x:c>
    </x:row>
    <x:row r="340" ht="18" customHeight="1">
      <x:c r="A340" t="str">
        <x:v>39-629-5554</x:v>
      </x:c>
      <x:c r="B340" t="str">
        <x:v>Egg (Goose)</x:v>
      </x:c>
      <x:c r="C340" t="str">
        <x:v>Muxo</x:v>
      </x:c>
      <x:c r="D340" t="str">
        <x:v>Dairy</x:v>
      </x:c>
      <x:c r="E340" t="str">
        <x:v>Discontinued</x:v>
      </x:c>
      <x:c r="F340" t="n">
        <x:v>44</x:v>
      </x:c>
      <x:c r="G340" t="n">
        <x:v>90</x:v>
      </x:c>
      <x:c r="H340" s="22" t="n">
        <x:v>110</x:v>
      </x:c>
      <x:c r="I340" t="n">
        <x:v>17</x:v>
      </x:c>
      <x:c r="J340" t="n">
        <x:v>0</x:v>
      </x:c>
    </x:row>
    <x:row r="341" ht="18" customHeight="1">
      <x:c r="A341" t="str">
        <x:v>27-635-8394</x:v>
      </x:c>
      <x:c r="B341" t="str">
        <x:v>Orange</x:v>
      </x:c>
      <x:c r="C341" t="str">
        <x:v>Twitterwire</x:v>
      </x:c>
      <x:c r="D341" t="str">
        <x:v>Fruits &amp; Vegetables</x:v>
      </x:c>
      <x:c r="E341" t="str">
        <x:v>Discontinued</x:v>
      </x:c>
      <x:c r="F341" t="n">
        <x:v>88</x:v>
      </x:c>
      <x:c r="G341" t="n">
        <x:v>37</x:v>
      </x:c>
      <x:c r="H341" s="22" t="n">
        <x:v>255.2</x:v>
      </x:c>
      <x:c r="I341" t="n">
        <x:v>61</x:v>
      </x:c>
      <x:c r="J341" t="n">
        <x:v>0</x:v>
      </x:c>
    </x:row>
    <x:row r="342" ht="18" customHeight="1">
      <x:c r="A342" t="str">
        <x:v>14-844-4138</x:v>
      </x:c>
      <x:c r="B342" t="str">
        <x:v>Black Coffee</x:v>
      </x:c>
      <x:c r="C342" t="str">
        <x:v>Flipbug</x:v>
      </x:c>
      <x:c r="D342" t="str">
        <x:v>Beverages</x:v>
      </x:c>
      <x:c r="E342" t="str">
        <x:v>Discontinued</x:v>
      </x:c>
      <x:c r="F342" t="n">
        <x:v>61</x:v>
      </x:c>
      <x:c r="G342" t="n">
        <x:v>43</x:v>
      </x:c>
      <x:c r="H342" s="22" t="n">
        <x:v>915</x:v>
      </x:c>
      <x:c r="I342" t="n">
        <x:v>29</x:v>
      </x:c>
      <x:c r="J342" t="n">
        <x:v>0</x:v>
      </x:c>
    </x:row>
    <x:row r="343" ht="18" customHeight="1">
      <x:c r="A343" t="str">
        <x:v>65-464-5070</x:v>
      </x:c>
      <x:c r="B343" t="str">
        <x:v>Heavy Cream</x:v>
      </x:c>
      <x:c r="C343" t="str">
        <x:v>Ntags</x:v>
      </x:c>
      <x:c r="D343" t="str">
        <x:v>Dairy</x:v>
      </x:c>
      <x:c r="E343" t="str">
        <x:v>Discontinued</x:v>
      </x:c>
      <x:c r="F343" t="n">
        <x:v>12</x:v>
      </x:c>
      <x:c r="G343" t="n">
        <x:v>60</x:v>
      </x:c>
      <x:c r="H343" s="22" t="n">
        <x:v>48</x:v>
      </x:c>
      <x:c r="I343" t="n">
        <x:v>73</x:v>
      </x:c>
      <x:c r="J343" t="n">
        <x:v>0</x:v>
      </x:c>
    </x:row>
    <x:row r="344" ht="18" customHeight="1">
      <x:c r="A344" t="str">
        <x:v>46-911-1159</x:v>
      </x:c>
      <x:c r="B344" t="str">
        <x:v>Onion</x:v>
      </x:c>
      <x:c r="C344" t="str">
        <x:v>Voolia</x:v>
      </x:c>
      <x:c r="D344" t="str">
        <x:v>Fruits &amp; Vegetables</x:v>
      </x:c>
      <x:c r="E344" t="str">
        <x:v>Active</x:v>
      </x:c>
      <x:c r="F344" t="n">
        <x:v>98</x:v>
      </x:c>
      <x:c r="G344" t="n">
        <x:v>40</x:v>
      </x:c>
      <x:c r="H344" s="22" t="n">
        <x:v>196</x:v>
      </x:c>
      <x:c r="I344" t="n">
        <x:v>100</x:v>
      </x:c>
      <x:c r="J344" t="n">
        <x:v>0</x:v>
      </x:c>
    </x:row>
    <x:row r="345" ht="18" customHeight="1">
      <x:c r="A345" t="str">
        <x:v>35-617-3857</x:v>
      </x:c>
      <x:c r="B345" t="str">
        <x:v>Arabica Coffee</x:v>
      </x:c>
      <x:c r="C345" t="str">
        <x:v>Youspan</x:v>
      </x:c>
      <x:c r="D345" t="str">
        <x:v>Beverages</x:v>
      </x:c>
      <x:c r="E345" t="str">
        <x:v>Backordered</x:v>
      </x:c>
      <x:c r="F345" t="n">
        <x:v>46</x:v>
      </x:c>
      <x:c r="G345" t="n">
        <x:v>31</x:v>
      </x:c>
      <x:c r="H345" s="22" t="n">
        <x:v>920</x:v>
      </x:c>
      <x:c r="I345" t="n">
        <x:v>89</x:v>
      </x:c>
      <x:c r="J345" t="n">
        <x:v>0</x:v>
      </x:c>
    </x:row>
    <x:row r="346" ht="18" customHeight="1">
      <x:c r="A346" t="str">
        <x:v>41-237-5498</x:v>
      </x:c>
      <x:c r="B346" t="str">
        <x:v>Cheese</x:v>
      </x:c>
      <x:c r="C346" t="str">
        <x:v>Omba</x:v>
      </x:c>
      <x:c r="D346" t="str">
        <x:v>Dairy</x:v>
      </x:c>
      <x:c r="E346" t="str">
        <x:v>Discontinued</x:v>
      </x:c>
      <x:c r="F346" t="n">
        <x:v>88</x:v>
      </x:c>
      <x:c r="G346" t="n">
        <x:v>53</x:v>
      </x:c>
      <x:c r="H346" s="22" t="n">
        <x:v>792</x:v>
      </x:c>
      <x:c r="I346" t="n">
        <x:v>44</x:v>
      </x:c>
      <x:c r="J346" t="n">
        <x:v>0</x:v>
      </x:c>
    </x:row>
    <x:row r="347" ht="18" customHeight="1">
      <x:c r="A347" t="str">
        <x:v>86-672-4191</x:v>
      </x:c>
      <x:c r="B347" t="str">
        <x:v>Egg (Goose)</x:v>
      </x:c>
      <x:c r="C347" t="str">
        <x:v>Einti</x:v>
      </x:c>
      <x:c r="D347" t="str">
        <x:v>Dairy</x:v>
      </x:c>
      <x:c r="E347" t="str">
        <x:v>Discontinued</x:v>
      </x:c>
      <x:c r="F347" t="n">
        <x:v>88</x:v>
      </x:c>
      <x:c r="G347" t="n">
        <x:v>22</x:v>
      </x:c>
      <x:c r="H347" s="22" t="n">
        <x:v>220</x:v>
      </x:c>
      <x:c r="I347" t="n">
        <x:v>61</x:v>
      </x:c>
      <x:c r="J347" t="n">
        <x:v>0</x:v>
      </x:c>
    </x:row>
    <x:row r="348" ht="18" customHeight="1">
      <x:c r="A348" t="str">
        <x:v>10-555-5971</x:v>
      </x:c>
      <x:c r="B348" t="str">
        <x:v>Sourdough Bread</x:v>
      </x:c>
      <x:c r="C348" t="str">
        <x:v>Gigashots</x:v>
      </x:c>
      <x:c r="D348" t="str">
        <x:v>Bakery</x:v>
      </x:c>
      <x:c r="E348" t="str">
        <x:v>Backordered</x:v>
      </x:c>
      <x:c r="F348" t="n">
        <x:v>94</x:v>
      </x:c>
      <x:c r="G348" t="n">
        <x:v>56</x:v>
      </x:c>
      <x:c r="H348" s="22" t="n">
        <x:v>376</x:v>
      </x:c>
      <x:c r="I348" t="n">
        <x:v>80</x:v>
      </x:c>
      <x:c r="J348" t="n">
        <x:v>0</x:v>
      </x:c>
    </x:row>
    <x:row r="349" ht="18" customHeight="1">
      <x:c r="A349" t="str">
        <x:v>45-050-4720</x:v>
      </x:c>
      <x:c r="B349" t="str">
        <x:v>Black Rice</x:v>
      </x:c>
      <x:c r="C349" t="str">
        <x:v>Voonder</x:v>
      </x:c>
      <x:c r="D349" t="str">
        <x:v>Grains &amp; Pulses</x:v>
      </x:c>
      <x:c r="E349" t="str">
        <x:v>Active</x:v>
      </x:c>
      <x:c r="F349" t="n">
        <x:v>18</x:v>
      </x:c>
      <x:c r="G349" t="n">
        <x:v>78</x:v>
      </x:c>
      <x:c r="H349" s="22" t="n">
        <x:v>108</x:v>
      </x:c>
      <x:c r="I349" t="n">
        <x:v>43</x:v>
      </x:c>
      <x:c r="J349" t="n">
        <x:v>60</x:v>
      </x:c>
    </x:row>
    <x:row r="350" ht="18" customHeight="1">
      <x:c r="A350" t="str">
        <x:v>73-997-6251</x:v>
      </x:c>
      <x:c r="B350" t="str">
        <x:v>Bell Pepper</x:v>
      </x:c>
      <x:c r="C350" t="str">
        <x:v>Livetube</x:v>
      </x:c>
      <x:c r="D350" t="str">
        <x:v>Fruits &amp; Vegetables</x:v>
      </x:c>
      <x:c r="E350" t="str">
        <x:v>Discontinued</x:v>
      </x:c>
      <x:c r="F350" t="n">
        <x:v>94</x:v>
      </x:c>
      <x:c r="G350" t="n">
        <x:v>18</x:v>
      </x:c>
      <x:c r="H350" s="22" t="n">
        <x:v>423</x:v>
      </x:c>
      <x:c r="I350" t="n">
        <x:v>84</x:v>
      </x:c>
      <x:c r="J350" t="n">
        <x:v>0</x:v>
      </x:c>
    </x:row>
    <x:row r="351" ht="18" customHeight="1">
      <x:c r="A351" t="str">
        <x:v>53-446-8243</x:v>
      </x:c>
      <x:c r="B351" t="str">
        <x:v>Orange</x:v>
      </x:c>
      <x:c r="C351" t="str">
        <x:v>Skipfire</x:v>
      </x:c>
      <x:c r="D351" t="str">
        <x:v>Fruits &amp; Vegetables</x:v>
      </x:c>
      <x:c r="E351" t="str">
        <x:v>Discontinued</x:v>
      </x:c>
      <x:c r="F351" t="n">
        <x:v>41</x:v>
      </x:c>
      <x:c r="G351" t="n">
        <x:v>94</x:v>
      </x:c>
      <x:c r="H351" s="22" t="n">
        <x:v>123</x:v>
      </x:c>
      <x:c r="I351" t="n">
        <x:v>4</x:v>
      </x:c>
      <x:c r="J351" t="n">
        <x:v>0</x:v>
      </x:c>
    </x:row>
    <x:row r="352" ht="18" customHeight="1">
      <x:c r="A352" t="str">
        <x:v>12-798-9401</x:v>
      </x:c>
      <x:c r="B352" t="str">
        <x:v>Cream</x:v>
      </x:c>
      <x:c r="C352" t="str">
        <x:v>Thoughtblab</x:v>
      </x:c>
      <x:c r="D352" t="str">
        <x:v>Dairy</x:v>
      </x:c>
      <x:c r="E352" t="str">
        <x:v>Backordered</x:v>
      </x:c>
      <x:c r="F352" t="n">
        <x:v>18</x:v>
      </x:c>
      <x:c r="G352" t="n">
        <x:v>14</x:v>
      </x:c>
      <x:c r="H352" s="22" t="n">
        <x:v>45</x:v>
      </x:c>
      <x:c r="I352" t="n">
        <x:v>77</x:v>
      </x:c>
      <x:c r="J352" t="n">
        <x:v>0</x:v>
      </x:c>
    </x:row>
    <x:row r="353" ht="18" customHeight="1">
      <x:c r="A353" t="str">
        <x:v>93-014-4256</x:v>
      </x:c>
      <x:c r="B353" t="str">
        <x:v>Green Beans</x:v>
      </x:c>
      <x:c r="C353" t="str">
        <x:v>BlogXS</x:v>
      </x:c>
      <x:c r="D353" t="str">
        <x:v>Fruits &amp; Vegetables</x:v>
      </x:c>
      <x:c r="E353" t="str">
        <x:v>Active</x:v>
      </x:c>
      <x:c r="F353" t="n">
        <x:v>19</x:v>
      </x:c>
      <x:c r="G353" t="n">
        <x:v>92</x:v>
      </x:c>
      <x:c r="H353" s="22" t="n">
        <x:v>38</x:v>
      </x:c>
      <x:c r="I353" t="n">
        <x:v>41</x:v>
      </x:c>
      <x:c r="J353" t="n">
        <x:v>73</x:v>
      </x:c>
    </x:row>
    <x:row r="354" ht="18" customHeight="1">
      <x:c r="A354" t="str">
        <x:v>60-911-3745</x:v>
      </x:c>
      <x:c r="B354" t="str">
        <x:v>Black Rice</x:v>
      </x:c>
      <x:c r="C354" t="str">
        <x:v>Blognation</x:v>
      </x:c>
      <x:c r="D354" t="str">
        <x:v>Grains &amp; Pulses</x:v>
      </x:c>
      <x:c r="E354" t="str">
        <x:v>Backordered</x:v>
      </x:c>
      <x:c r="F354" t="n">
        <x:v>98</x:v>
      </x:c>
      <x:c r="G354" t="n">
        <x:v>41</x:v>
      </x:c>
      <x:c r="H354" s="22" t="n">
        <x:v>622.3</x:v>
      </x:c>
      <x:c r="I354" t="n">
        <x:v>98</x:v>
      </x:c>
      <x:c r="J354" t="n">
        <x:v>0</x:v>
      </x:c>
    </x:row>
    <x:row r="355" ht="18" customHeight="1">
      <x:c r="A355" t="str">
        <x:v>53-146-9979</x:v>
      </x:c>
      <x:c r="B355" t="str">
        <x:v>Powdered Sugar</x:v>
      </x:c>
      <x:c r="C355" t="str">
        <x:v>Skidoo</x:v>
      </x:c>
      <x:c r="D355" t="str">
        <x:v>Grains &amp; Pulses</x:v>
      </x:c>
      <x:c r="E355" t="str">
        <x:v>Active</x:v>
      </x:c>
      <x:c r="F355" t="n">
        <x:v>21</x:v>
      </x:c>
      <x:c r="G355" t="n">
        <x:v>15</x:v>
      </x:c>
      <x:c r="H355" s="22" t="n">
        <x:v>52.5</x:v>
      </x:c>
      <x:c r="I355" t="n">
        <x:v>27</x:v>
      </x:c>
      <x:c r="J355" t="n">
        <x:v>0</x:v>
      </x:c>
    </x:row>
    <x:row r="356" ht="18" customHeight="1">
      <x:c r="A356" t="str">
        <x:v>65-780-5622</x:v>
      </x:c>
      <x:c r="B356" t="str">
        <x:v>Butter Biscuit</x:v>
      </x:c>
      <x:c r="C356" t="str">
        <x:v>InnoZ</x:v>
      </x:c>
      <x:c r="D356" t="str">
        <x:v>Bakery</x:v>
      </x:c>
      <x:c r="E356" t="str">
        <x:v>Active</x:v>
      </x:c>
      <x:c r="F356" t="n">
        <x:v>74</x:v>
      </x:c>
      <x:c r="G356" t="n">
        <x:v>81</x:v>
      </x:c>
      <x:c r="H356" s="22" t="n">
        <x:v>444</x:v>
      </x:c>
      <x:c r="I356" t="n">
        <x:v>41</x:v>
      </x:c>
      <x:c r="J356" t="n">
        <x:v>41</x:v>
      </x:c>
    </x:row>
    <x:row r="357" ht="18" customHeight="1">
      <x:c r="A357" t="str">
        <x:v>29-896-7926</x:v>
      </x:c>
      <x:c r="B357" t="str">
        <x:v>White Rice</x:v>
      </x:c>
      <x:c r="C357" t="str">
        <x:v>Centidel</x:v>
      </x:c>
      <x:c r="D357" t="str">
        <x:v>Grains &amp; Pulses</x:v>
      </x:c>
      <x:c r="E357" t="str">
        <x:v>Backordered</x:v>
      </x:c>
      <x:c r="F357" t="n">
        <x:v>20</x:v>
      </x:c>
      <x:c r="G357" t="n">
        <x:v>20</x:v>
      </x:c>
      <x:c r="H357" s="22" t="n">
        <x:v>36</x:v>
      </x:c>
      <x:c r="I357" t="n">
        <x:v>56</x:v>
      </x:c>
      <x:c r="J357" t="n">
        <x:v>0</x:v>
      </x:c>
    </x:row>
    <x:row r="358" ht="18" customHeight="1">
      <x:c r="A358" t="str">
        <x:v>67-027-7269</x:v>
      </x:c>
      <x:c r="B358" t="str">
        <x:v>Mushrooms</x:v>
      </x:c>
      <x:c r="C358" t="str">
        <x:v>Twitterbeat</x:v>
      </x:c>
      <x:c r="D358" t="str">
        <x:v>Fruits &amp; Vegetables</x:v>
      </x:c>
      <x:c r="E358" t="str">
        <x:v>Backordered</x:v>
      </x:c>
      <x:c r="F358" t="n">
        <x:v>35</x:v>
      </x:c>
      <x:c r="G358" t="n">
        <x:v>19</x:v>
      </x:c>
      <x:c r="H358" s="22" t="n">
        <x:v>227.5</x:v>
      </x:c>
      <x:c r="I358" t="n">
        <x:v>30</x:v>
      </x:c>
      <x:c r="J358" t="n">
        <x:v>0</x:v>
      </x:c>
    </x:row>
    <x:row r="359" ht="18" customHeight="1">
      <x:c r="A359" t="str">
        <x:v>25-353-2067</x:v>
      </x:c>
      <x:c r="B359" t="str">
        <x:v>Papaya</x:v>
      </x:c>
      <x:c r="C359" t="str">
        <x:v>Brightbean</x:v>
      </x:c>
      <x:c r="D359" t="str">
        <x:v>Fruits &amp; Vegetables</x:v>
      </x:c>
      <x:c r="E359" t="str">
        <x:v>Backordered</x:v>
      </x:c>
      <x:c r="F359" t="n">
        <x:v>81</x:v>
      </x:c>
      <x:c r="G359" t="n">
        <x:v>16</x:v>
      </x:c>
      <x:c r="H359" s="22" t="n">
        <x:v>348.3</x:v>
      </x:c>
      <x:c r="I359" t="n">
        <x:v>69</x:v>
      </x:c>
      <x:c r="J359" t="n">
        <x:v>0</x:v>
      </x:c>
    </x:row>
    <x:row r="360" ht="18" customHeight="1">
      <x:c r="A360" t="str">
        <x:v>72-341-1154</x:v>
      </x:c>
      <x:c r="B360" t="str">
        <x:v>Heavy Cream</x:v>
      </x:c>
      <x:c r="C360" t="str">
        <x:v>Yodo</x:v>
      </x:c>
      <x:c r="D360" t="str">
        <x:v>Dairy</x:v>
      </x:c>
      <x:c r="E360" t="str">
        <x:v>Discontinued</x:v>
      </x:c>
      <x:c r="F360" t="n">
        <x:v>85</x:v>
      </x:c>
      <x:c r="G360" t="n">
        <x:v>66</x:v>
      </x:c>
      <x:c r="H360" s="22" t="n">
        <x:v>357</x:v>
      </x:c>
      <x:c r="I360" t="n">
        <x:v>85</x:v>
      </x:c>
      <x:c r="J360" t="n">
        <x:v>0</x:v>
      </x:c>
    </x:row>
    <x:row r="361" ht="18" customHeight="1">
      <x:c r="A361" t="str">
        <x:v>16-187-5729</x:v>
      </x:c>
      <x:c r="B361" t="str">
        <x:v>Black Tea</x:v>
      </x:c>
      <x:c r="C361" t="str">
        <x:v>Zoombeat</x:v>
      </x:c>
      <x:c r="D361" t="str">
        <x:v>Beverages</x:v>
      </x:c>
      <x:c r="E361" t="str">
        <x:v>Active</x:v>
      </x:c>
      <x:c r="F361" t="n">
        <x:v>45</x:v>
      </x:c>
      <x:c r="G361" t="n">
        <x:v>58</x:v>
      </x:c>
      <x:c r="H361" s="22" t="n">
        <x:v>225</x:v>
      </x:c>
      <x:c r="I361" t="n">
        <x:v>84</x:v>
      </x:c>
      <x:c r="J361" t="n">
        <x:v>84</x:v>
      </x:c>
    </x:row>
    <x:row r="362" ht="18" customHeight="1">
      <x:c r="A362" t="str">
        <x:v>49-311-3063</x:v>
      </x:c>
      <x:c r="B362" t="str">
        <x:v>Kiwi</x:v>
      </x:c>
      <x:c r="C362" t="str">
        <x:v>Talane</x:v>
      </x:c>
      <x:c r="D362" t="str">
        <x:v>Fruits &amp; Vegetables</x:v>
      </x:c>
      <x:c r="E362" t="str">
        <x:v>Discontinued</x:v>
      </x:c>
      <x:c r="F362" t="n">
        <x:v>47</x:v>
      </x:c>
      <x:c r="G362" t="n">
        <x:v>75</x:v>
      </x:c>
      <x:c r="H362" s="22" t="n">
        <x:v>282</x:v>
      </x:c>
      <x:c r="I362" t="n">
        <x:v>53</x:v>
      </x:c>
      <x:c r="J362" t="n">
        <x:v>0</x:v>
      </x:c>
    </x:row>
    <x:row r="363" ht="18" customHeight="1">
      <x:c r="A363" t="str">
        <x:v>98-652-9569</x:v>
      </x:c>
      <x:c r="B363" t="str">
        <x:v>Butter Biscuit</x:v>
      </x:c>
      <x:c r="C363" t="str">
        <x:v>Ooba</x:v>
      </x:c>
      <x:c r="D363" t="str">
        <x:v>Bakery</x:v>
      </x:c>
      <x:c r="E363" t="str">
        <x:v>Discontinued</x:v>
      </x:c>
      <x:c r="F363" t="n">
        <x:v>12</x:v>
      </x:c>
      <x:c r="G363" t="n">
        <x:v>7</x:v>
      </x:c>
      <x:c r="H363" s="22" t="n">
        <x:v>72</x:v>
      </x:c>
      <x:c r="I363" t="n">
        <x:v>23</x:v>
      </x:c>
      <x:c r="J363" t="n">
        <x:v>0</x:v>
      </x:c>
    </x:row>
    <x:row r="364" ht="18" customHeight="1">
      <x:c r="A364" t="str">
        <x:v>78-689-8958</x:v>
      </x:c>
      <x:c r="B364" t="str">
        <x:v>White Tea</x:v>
      </x:c>
      <x:c r="C364" t="str">
        <x:v>Chatterbridge</x:v>
      </x:c>
      <x:c r="D364" t="str">
        <x:v>Beverages</x:v>
      </x:c>
      <x:c r="E364" t="str">
        <x:v>Active</x:v>
      </x:c>
      <x:c r="F364" t="n">
        <x:v>20</x:v>
      </x:c>
      <x:c r="G364" t="n">
        <x:v>43</x:v>
      </x:c>
      <x:c r="H364" s="22" t="n">
        <x:v>500</x:v>
      </x:c>
      <x:c r="I364" t="n">
        <x:v>43</x:v>
      </x:c>
      <x:c r="J364" t="n">
        <x:v>43</x:v>
      </x:c>
    </x:row>
    <x:row r="365" ht="18" customHeight="1">
      <x:c r="A365" t="str">
        <x:v>66-378-7532</x:v>
      </x:c>
      <x:c r="B365" t="str">
        <x:v>Blueberries</x:v>
      </x:c>
      <x:c r="C365" t="str">
        <x:v>Flipbug</x:v>
      </x:c>
      <x:c r="D365" t="str">
        <x:v>Fruits &amp; Vegetables</x:v>
      </x:c>
      <x:c r="E365" t="str">
        <x:v>Backordered</x:v>
      </x:c>
      <x:c r="F365" t="n">
        <x:v>87</x:v>
      </x:c>
      <x:c r="G365" t="n">
        <x:v>51</x:v>
      </x:c>
      <x:c r="H365" s="22" t="n">
        <x:v>870</x:v>
      </x:c>
      <x:c r="I365" t="n">
        <x:v>67</x:v>
      </x:c>
      <x:c r="J365" t="n">
        <x:v>0</x:v>
      </x:c>
    </x:row>
    <x:row r="366" ht="18" customHeight="1">
      <x:c r="A366" t="str">
        <x:v>14-115-8371</x:v>
      </x:c>
      <x:c r="B366" t="str">
        <x:v>Chocolate Biscuit</x:v>
      </x:c>
      <x:c r="C366" t="str">
        <x:v>Yakitri</x:v>
      </x:c>
      <x:c r="D366" t="str">
        <x:v>Bakery</x:v>
      </x:c>
      <x:c r="E366" t="str">
        <x:v>Backordered</x:v>
      </x:c>
      <x:c r="F366" t="n">
        <x:v>23</x:v>
      </x:c>
      <x:c r="G366" t="n">
        <x:v>76</x:v>
      </x:c>
      <x:c r="H366" s="22" t="n">
        <x:v>115</x:v>
      </x:c>
      <x:c r="I366" t="n">
        <x:v>70</x:v>
      </x:c>
      <x:c r="J366" t="n">
        <x:v>70</x:v>
      </x:c>
    </x:row>
    <x:row r="367" ht="18" customHeight="1">
      <x:c r="A367" t="str">
        <x:v>76-540-6407</x:v>
      </x:c>
      <x:c r="B367" t="str">
        <x:v>Orange</x:v>
      </x:c>
      <x:c r="C367" t="str">
        <x:v>Demimbu</x:v>
      </x:c>
      <x:c r="D367" t="str">
        <x:v>Fruits &amp; Vegetables</x:v>
      </x:c>
      <x:c r="E367" t="str">
        <x:v>Backordered</x:v>
      </x:c>
      <x:c r="F367" t="n">
        <x:v>92</x:v>
      </x:c>
      <x:c r="G367" t="n">
        <x:v>54</x:v>
      </x:c>
      <x:c r="H367" s="22" t="n">
        <x:v>285.2</x:v>
      </x:c>
      <x:c r="I367" t="n">
        <x:v>73</x:v>
      </x:c>
      <x:c r="J367" t="n">
        <x:v>0</x:v>
      </x:c>
    </x:row>
    <x:row r="368" ht="18" customHeight="1">
      <x:c r="A368" t="str">
        <x:v>81-573-0943</x:v>
      </x:c>
      <x:c r="B368" t="str">
        <x:v>Egg (Chicken)</x:v>
      </x:c>
      <x:c r="C368" t="str">
        <x:v>Topiclounge</x:v>
      </x:c>
      <x:c r="D368" t="str">
        <x:v>Dairy</x:v>
      </x:c>
      <x:c r="E368" t="str">
        <x:v>Active</x:v>
      </x:c>
      <x:c r="F368" t="n">
        <x:v>22</x:v>
      </x:c>
      <x:c r="G368" t="n">
        <x:v>58</x:v>
      </x:c>
      <x:c r="H368" s="22" t="n">
        <x:v>4.4</x:v>
      </x:c>
      <x:c r="I368" t="n">
        <x:v>2</x:v>
      </x:c>
      <x:c r="J368" t="n">
        <x:v>36</x:v>
      </x:c>
    </x:row>
    <x:row r="369" ht="18" customHeight="1">
      <x:c r="A369" t="str">
        <x:v>68-732-5919</x:v>
      </x:c>
      <x:c r="B369" t="str">
        <x:v>Jasmine Rice</x:v>
      </x:c>
      <x:c r="C369" t="str">
        <x:v>Eimbee</x:v>
      </x:c>
      <x:c r="D369" t="str">
        <x:v>Grains &amp; Pulses</x:v>
      </x:c>
      <x:c r="E369" t="str">
        <x:v>Backordered</x:v>
      </x:c>
      <x:c r="F369" t="n">
        <x:v>26</x:v>
      </x:c>
      <x:c r="G369" t="n">
        <x:v>83</x:v>
      </x:c>
      <x:c r="H369" s="22" t="n">
        <x:v>123.5</x:v>
      </x:c>
      <x:c r="I369" t="n">
        <x:v>24</x:v>
      </x:c>
      <x:c r="J369" t="n">
        <x:v>57</x:v>
      </x:c>
    </x:row>
    <x:row r="370" ht="18" customHeight="1">
      <x:c r="A370" t="str">
        <x:v>68-734-1585</x:v>
      </x:c>
      <x:c r="B370" t="str">
        <x:v>Greek Yogurt</x:v>
      </x:c>
      <x:c r="C370" t="str">
        <x:v>Meeveo</x:v>
      </x:c>
      <x:c r="D370" t="str">
        <x:v>Fruits &amp; Vegetables</x:v>
      </x:c>
      <x:c r="E370" t="str">
        <x:v>Discontinued</x:v>
      </x:c>
      <x:c r="F370" t="n">
        <x:v>62</x:v>
      </x:c>
      <x:c r="G370" t="n">
        <x:v>44</x:v>
      </x:c>
      <x:c r="H370" s="22" t="n">
        <x:v>3172.54</x:v>
      </x:c>
      <x:c r="I370" t="n">
        <x:v>11</x:v>
      </x:c>
      <x:c r="J370" t="n">
        <x:v>0</x:v>
      </x:c>
    </x:row>
    <x:row r="371" ht="18" customHeight="1">
      <x:c r="A371" t="str">
        <x:v>93-342-8794</x:v>
      </x:c>
      <x:c r="B371" t="str">
        <x:v>Bread Flour</x:v>
      </x:c>
      <x:c r="C371" t="str">
        <x:v>Realblab</x:v>
      </x:c>
      <x:c r="D371" t="str">
        <x:v>Grains &amp; Pulses</x:v>
      </x:c>
      <x:c r="E371" t="str">
        <x:v>Backordered</x:v>
      </x:c>
      <x:c r="F371" t="n">
        <x:v>84</x:v>
      </x:c>
      <x:c r="G371" t="n">
        <x:v>91</x:v>
      </x:c>
      <x:c r="H371" s="22" t="n">
        <x:v>126</x:v>
      </x:c>
      <x:c r="I371" t="n">
        <x:v>86</x:v>
      </x:c>
      <x:c r="J371" t="n">
        <x:v>86</x:v>
      </x:c>
    </x:row>
    <x:row r="372" ht="18" customHeight="1">
      <x:c r="A372" t="str">
        <x:v>42-175-1648</x:v>
      </x:c>
      <x:c r="B372" t="str">
        <x:v>Pomegranate</x:v>
      </x:c>
      <x:c r="C372" t="str">
        <x:v>Browsetype</x:v>
      </x:c>
      <x:c r="D372" t="str">
        <x:v>Fruits &amp; Vegetables</x:v>
      </x:c>
      <x:c r="E372" t="str">
        <x:v>Backordered</x:v>
      </x:c>
      <x:c r="F372" t="n">
        <x:v>81</x:v>
      </x:c>
      <x:c r="G372" t="n">
        <x:v>87</x:v>
      </x:c>
      <x:c r="H372" s="22" t="n">
        <x:v>486</x:v>
      </x:c>
      <x:c r="I372" t="n">
        <x:v>15</x:v>
      </x:c>
      <x:c r="J372" t="n">
        <x:v>15</x:v>
      </x:c>
    </x:row>
    <x:row r="373" ht="18" customHeight="1">
      <x:c r="A373" t="str">
        <x:v>46-083-7058</x:v>
      </x:c>
      <x:c r="B373" t="str">
        <x:v>Haddock</x:v>
      </x:c>
      <x:c r="C373" t="str">
        <x:v>Devshare</x:v>
      </x:c>
      <x:c r="D373" t="str">
        <x:v>Seafood</x:v>
      </x:c>
      <x:c r="E373" t="str">
        <x:v>Active</x:v>
      </x:c>
      <x:c r="F373" t="n">
        <x:v>61</x:v>
      </x:c>
      <x:c r="G373" t="n">
        <x:v>91</x:v>
      </x:c>
      <x:c r="H373" s="22" t="n">
        <x:v>549</x:v>
      </x:c>
      <x:c r="I373" t="n">
        <x:v>40</x:v>
      </x:c>
      <x:c r="J373" t="n">
        <x:v>40</x:v>
      </x:c>
    </x:row>
    <x:row r="374" ht="18" customHeight="1">
      <x:c r="A374" t="str">
        <x:v>66-716-8221</x:v>
      </x:c>
      <x:c r="B374" t="str">
        <x:v>Cheddar Cheese</x:v>
      </x:c>
      <x:c r="C374" t="str">
        <x:v>LiveZ</x:v>
      </x:c>
      <x:c r="D374" t="str">
        <x:v>Dairy</x:v>
      </x:c>
      <x:c r="E374" t="str">
        <x:v>Backordered</x:v>
      </x:c>
      <x:c r="F374" t="n">
        <x:v>70</x:v>
      </x:c>
      <x:c r="G374" t="n">
        <x:v>96</x:v>
      </x:c>
      <x:c r="H374" s="22" t="n">
        <x:v>630</x:v>
      </x:c>
      <x:c r="I374" t="n">
        <x:v>35</x:v>
      </x:c>
      <x:c r="J374" t="n">
        <x:v>35</x:v>
      </x:c>
    </x:row>
    <x:row r="375" ht="18" customHeight="1">
      <x:c r="A375" t="str">
        <x:v>12-714-5135</x:v>
      </x:c>
      <x:c r="B375" t="str">
        <x:v>Ricotta Cheese</x:v>
      </x:c>
      <x:c r="C375" t="str">
        <x:v>Janyx</x:v>
      </x:c>
      <x:c r="D375" t="str">
        <x:v>Dairy</x:v>
      </x:c>
      <x:c r="E375" t="str">
        <x:v>Discontinued</x:v>
      </x:c>
      <x:c r="F375" t="n">
        <x:v>49</x:v>
      </x:c>
      <x:c r="G375" t="n">
        <x:v>28</x:v>
      </x:c>
      <x:c r="H375" s="22" t="n">
        <x:v>294</x:v>
      </x:c>
      <x:c r="I375" t="n">
        <x:v>74</x:v>
      </x:c>
      <x:c r="J375" t="n">
        <x:v>0</x:v>
      </x:c>
    </x:row>
    <x:row r="376" ht="18" customHeight="1">
      <x:c r="A376" t="str">
        <x:v>35-031-1497</x:v>
      </x:c>
      <x:c r="B376" t="str">
        <x:v>Green Coffee</x:v>
      </x:c>
      <x:c r="C376" t="str">
        <x:v>Linklinks</x:v>
      </x:c>
      <x:c r="D376" t="str">
        <x:v>Beverages</x:v>
      </x:c>
      <x:c r="E376" t="str">
        <x:v>Active</x:v>
      </x:c>
      <x:c r="F376" t="n">
        <x:v>20</x:v>
      </x:c>
      <x:c r="G376" t="n">
        <x:v>68</x:v>
      </x:c>
      <x:c r="H376" s="22" t="n">
        <x:v>240</x:v>
      </x:c>
      <x:c r="I376" t="n">
        <x:v>20</x:v>
      </x:c>
      <x:c r="J376" t="n">
        <x:v>48</x:v>
      </x:c>
    </x:row>
    <x:row r="377" ht="18" customHeight="1">
      <x:c r="A377" t="str">
        <x:v>54-708-7327</x:v>
      </x:c>
      <x:c r="B377" t="str">
        <x:v>Jasmine Rice</x:v>
      </x:c>
      <x:c r="C377" t="str">
        <x:v>Linktype</x:v>
      </x:c>
      <x:c r="D377" t="str">
        <x:v>Grains &amp; Pulses</x:v>
      </x:c>
      <x:c r="E377" t="str">
        <x:v>Active</x:v>
      </x:c>
      <x:c r="F377" t="n">
        <x:v>50</x:v>
      </x:c>
      <x:c r="G377" t="n">
        <x:v>14</x:v>
      </x:c>
      <x:c r="H377" s="22" t="n">
        <x:v>237.5</x:v>
      </x:c>
      <x:c r="I377" t="n">
        <x:v>99</x:v>
      </x:c>
      <x:c r="J377" t="n">
        <x:v>0</x:v>
      </x:c>
    </x:row>
    <x:row r="378" ht="18" customHeight="1">
      <x:c r="A378" t="str">
        <x:v>63-897-8088</x:v>
      </x:c>
      <x:c r="B378" t="str">
        <x:v>Zucchini</x:v>
      </x:c>
      <x:c r="C378" t="str">
        <x:v>Skibox</x:v>
      </x:c>
      <x:c r="D378" t="str">
        <x:v>Fruits &amp; Vegetables</x:v>
      </x:c>
      <x:c r="E378" t="str">
        <x:v>Backordered</x:v>
      </x:c>
      <x:c r="F378" t="n">
        <x:v>63</x:v>
      </x:c>
      <x:c r="G378" t="n">
        <x:v>56</x:v>
      </x:c>
      <x:c r="H378" s="22" t="n">
        <x:v>157.5</x:v>
      </x:c>
      <x:c r="I378" t="n">
        <x:v>33</x:v>
      </x:c>
      <x:c r="J378" t="n">
        <x:v>0</x:v>
      </x:c>
    </x:row>
    <x:row r="379" ht="18" customHeight="1">
      <x:c r="A379" t="str">
        <x:v>79-494-2472</x:v>
      </x:c>
      <x:c r="B379" t="str">
        <x:v>Green Beans</x:v>
      </x:c>
      <x:c r="C379" t="str">
        <x:v>Kanoodle</x:v>
      </x:c>
      <x:c r="D379" t="str">
        <x:v>Fruits &amp; Vegetables</x:v>
      </x:c>
      <x:c r="E379" t="str">
        <x:v>Active</x:v>
      </x:c>
      <x:c r="F379" t="n">
        <x:v>42</x:v>
      </x:c>
      <x:c r="G379" t="n">
        <x:v>48</x:v>
      </x:c>
      <x:c r="H379" s="22" t="n">
        <x:v>84</x:v>
      </x:c>
      <x:c r="I379" t="n">
        <x:v>18</x:v>
      </x:c>
      <x:c r="J379" t="n">
        <x:v>18</x:v>
      </x:c>
    </x:row>
    <x:row r="380" ht="18" customHeight="1">
      <x:c r="A380" t="str">
        <x:v>15-679-3935</x:v>
      </x:c>
      <x:c r="B380" t="str">
        <x:v>Grapes</x:v>
      </x:c>
      <x:c r="C380" t="str">
        <x:v>Jabbersphere</x:v>
      </x:c>
      <x:c r="D380" t="str">
        <x:v>Fruits &amp; Vegetables</x:v>
      </x:c>
      <x:c r="E380" t="str">
        <x:v>Backordered</x:v>
      </x:c>
      <x:c r="F380" t="n">
        <x:v>22</x:v>
      </x:c>
      <x:c r="G380" t="n">
        <x:v>69</x:v>
      </x:c>
      <x:c r="H380" s="22" t="n">
        <x:v>121</x:v>
      </x:c>
      <x:c r="I380" t="n">
        <x:v>87</x:v>
      </x:c>
      <x:c r="J380" t="n">
        <x:v>87</x:v>
      </x:c>
    </x:row>
    <x:row r="381" ht="18" customHeight="1">
      <x:c r="A381" t="str">
        <x:v>31-608-1445</x:v>
      </x:c>
      <x:c r="B381" t="str">
        <x:v>Papaya</x:v>
      </x:c>
      <x:c r="C381" t="str">
        <x:v>Ntag</x:v>
      </x:c>
      <x:c r="D381" t="str">
        <x:v>Fruits &amp; Vegetables</x:v>
      </x:c>
      <x:c r="E381" t="str">
        <x:v>Discontinued</x:v>
      </x:c>
      <x:c r="F381" t="n">
        <x:v>84</x:v>
      </x:c>
      <x:c r="G381" t="n">
        <x:v>28</x:v>
      </x:c>
      <x:c r="H381" s="22" t="n">
        <x:v>369.6</x:v>
      </x:c>
      <x:c r="I381" t="n">
        <x:v>29</x:v>
      </x:c>
      <x:c r="J381" t="n">
        <x:v>0</x:v>
      </x:c>
    </x:row>
    <x:row r="382" ht="18" customHeight="1">
      <x:c r="A382" t="str">
        <x:v>70-206-4860</x:v>
      </x:c>
      <x:c r="B382" t="str">
        <x:v>Egg (Quail)</x:v>
      </x:c>
      <x:c r="C382" t="str">
        <x:v>Meejo</x:v>
      </x:c>
      <x:c r="D382" t="str">
        <x:v>Dairy</x:v>
      </x:c>
      <x:c r="E382" t="str">
        <x:v>Discontinued</x:v>
      </x:c>
      <x:c r="F382" t="n">
        <x:v>93</x:v>
      </x:c>
      <x:c r="G382" t="n">
        <x:v>68</x:v>
      </x:c>
      <x:c r="H382" s="22" t="n">
        <x:v>74.4</x:v>
      </x:c>
      <x:c r="I382" t="n">
        <x:v>71</x:v>
      </x:c>
      <x:c r="J382" t="n">
        <x:v>0</x:v>
      </x:c>
    </x:row>
    <x:row r="383" ht="18" customHeight="1">
      <x:c r="A383" t="str">
        <x:v>30-832-5429</x:v>
      </x:c>
      <x:c r="B383" t="str">
        <x:v>Multigrain Bread</x:v>
      </x:c>
      <x:c r="C383" t="str">
        <x:v>Topicshots</x:v>
      </x:c>
      <x:c r="D383" t="str">
        <x:v>Bakery</x:v>
      </x:c>
      <x:c r="E383" t="str">
        <x:v>Backordered</x:v>
      </x:c>
      <x:c r="F383" t="n">
        <x:v>46</x:v>
      </x:c>
      <x:c r="G383" t="n">
        <x:v>43</x:v>
      </x:c>
      <x:c r="H383" s="22" t="n">
        <x:v>161</x:v>
      </x:c>
      <x:c r="I383" t="n">
        <x:v>46</x:v>
      </x:c>
      <x:c r="J383" t="n">
        <x:v>0</x:v>
      </x:c>
    </x:row>
    <x:row r="384" ht="18" customHeight="1">
      <x:c r="A384" t="str">
        <x:v>01-173-0029</x:v>
      </x:c>
      <x:c r="B384" t="str">
        <x:v>Blueberries</x:v>
      </x:c>
      <x:c r="C384" t="str">
        <x:v>DabZ</x:v>
      </x:c>
      <x:c r="D384" t="str">
        <x:v>Fruits &amp; Vegetables</x:v>
      </x:c>
      <x:c r="E384" t="str">
        <x:v>Active</x:v>
      </x:c>
      <x:c r="F384" t="n">
        <x:v>42</x:v>
      </x:c>
      <x:c r="G384" t="n">
        <x:v>4</x:v>
      </x:c>
      <x:c r="H384" s="22" t="n">
        <x:v>420</x:v>
      </x:c>
      <x:c r="I384" t="n">
        <x:v>53</x:v>
      </x:c>
      <x:c r="J384" t="n">
        <x:v>0</x:v>
      </x:c>
    </x:row>
    <x:row r="385" ht="18" customHeight="1">
      <x:c r="A385" t="str">
        <x:v>65-235-7676</x:v>
      </x:c>
      <x:c r="B385" t="str">
        <x:v>Whole Wheat Bread</x:v>
      </x:c>
      <x:c r="C385" t="str">
        <x:v>Quire</x:v>
      </x:c>
      <x:c r="D385" t="str">
        <x:v>Bakery</x:v>
      </x:c>
      <x:c r="E385" t="str">
        <x:v>Active</x:v>
      </x:c>
      <x:c r="F385" t="n">
        <x:v>91</x:v>
      </x:c>
      <x:c r="G385" t="n">
        <x:v>71</x:v>
      </x:c>
      <x:c r="H385" s="22" t="n">
        <x:v>318.5</x:v>
      </x:c>
      <x:c r="I385" t="n">
        <x:v>17</x:v>
      </x:c>
      <x:c r="J385" t="n">
        <x:v>0</x:v>
      </x:c>
    </x:row>
    <x:row r="386" ht="18" customHeight="1">
      <x:c r="A386" t="str">
        <x:v>79-400-6216</x:v>
      </x:c>
      <x:c r="B386" t="str">
        <x:v>Mozzarella Cheese</x:v>
      </x:c>
      <x:c r="C386" t="str">
        <x:v>Devpoint</x:v>
      </x:c>
      <x:c r="D386" t="str">
        <x:v>Dairy</x:v>
      </x:c>
      <x:c r="E386" t="str">
        <x:v>Discontinued</x:v>
      </x:c>
      <x:c r="F386" t="n">
        <x:v>16</x:v>
      </x:c>
      <x:c r="G386" t="n">
        <x:v>56</x:v>
      </x:c>
      <x:c r="H386" s="22" t="n">
        <x:v>115.2</x:v>
      </x:c>
      <x:c r="I386" t="n">
        <x:v>13</x:v>
      </x:c>
      <x:c r="J386" t="n">
        <x:v>0</x:v>
      </x:c>
    </x:row>
    <x:row r="387" ht="18" customHeight="1">
      <x:c r="A387" t="str">
        <x:v>35-836-6718</x:v>
      </x:c>
      <x:c r="B387" t="str">
        <x:v>Ricotta Cheese</x:v>
      </x:c>
      <x:c r="C387" t="str">
        <x:v>Thoughtblab</x:v>
      </x:c>
      <x:c r="D387" t="str">
        <x:v>Dairy</x:v>
      </x:c>
      <x:c r="E387" t="str">
        <x:v>Backordered</x:v>
      </x:c>
      <x:c r="F387" t="n">
        <x:v>91</x:v>
      </x:c>
      <x:c r="G387" t="n">
        <x:v>14</x:v>
      </x:c>
      <x:c r="H387" s="22" t="n">
        <x:v>546</x:v>
      </x:c>
      <x:c r="I387" t="n">
        <x:v>99</x:v>
      </x:c>
      <x:c r="J387" t="n">
        <x:v>0</x:v>
      </x:c>
    </x:row>
    <x:row r="388" ht="18" customHeight="1">
      <x:c r="A388" t="str">
        <x:v>08-573-9997</x:v>
      </x:c>
      <x:c r="B388" t="str">
        <x:v>Pomegranate</x:v>
      </x:c>
      <x:c r="C388" t="str">
        <x:v>Meevee</x:v>
      </x:c>
      <x:c r="D388" t="str">
        <x:v>Fruits &amp; Vegetables</x:v>
      </x:c>
      <x:c r="E388" t="str">
        <x:v>Backordered</x:v>
      </x:c>
      <x:c r="F388" t="n">
        <x:v>26</x:v>
      </x:c>
      <x:c r="G388" t="n">
        <x:v>1</x:v>
      </x:c>
      <x:c r="H388" s="22" t="n">
        <x:v>156</x:v>
      </x:c>
      <x:c r="I388" t="n">
        <x:v>9</x:v>
      </x:c>
      <x:c r="J388" t="n">
        <x:v>0</x:v>
      </x:c>
    </x:row>
    <x:row r="389" ht="18" customHeight="1">
      <x:c r="A389" t="str">
        <x:v>66-854-5736</x:v>
      </x:c>
      <x:c r="B389" t="str">
        <x:v>Kiwi</x:v>
      </x:c>
      <x:c r="C389" t="str">
        <x:v>Vitz</x:v>
      </x:c>
      <x:c r="D389" t="str">
        <x:v>Fruits &amp; Vegetables</x:v>
      </x:c>
      <x:c r="E389" t="str">
        <x:v>Discontinued</x:v>
      </x:c>
      <x:c r="F389" t="n">
        <x:v>63</x:v>
      </x:c>
      <x:c r="G389" t="n">
        <x:v>57</x:v>
      </x:c>
      <x:c r="H389" s="22" t="n">
        <x:v>365.4</x:v>
      </x:c>
      <x:c r="I389" t="n">
        <x:v>11</x:v>
      </x:c>
      <x:c r="J389" t="n">
        <x:v>0</x:v>
      </x:c>
    </x:row>
    <x:row r="390" ht="18" customHeight="1">
      <x:c r="A390" t="str">
        <x:v>85-835-3445</x:v>
      </x:c>
      <x:c r="B390" t="str">
        <x:v>Egg (Goose)</x:v>
      </x:c>
      <x:c r="C390" t="str">
        <x:v>Gigashots</x:v>
      </x:c>
      <x:c r="D390" t="str">
        <x:v>Dairy</x:v>
      </x:c>
      <x:c r="E390" t="str">
        <x:v>Backordered</x:v>
      </x:c>
      <x:c r="F390" t="n">
        <x:v>50</x:v>
      </x:c>
      <x:c r="G390" t="n">
        <x:v>93</x:v>
      </x:c>
      <x:c r="H390" s="22" t="n">
        <x:v>122.5</x:v>
      </x:c>
      <x:c r="I390" t="n">
        <x:v>37</x:v>
      </x:c>
      <x:c r="J390" t="n">
        <x:v>43</x:v>
      </x:c>
    </x:row>
    <x:row r="391" ht="18" customHeight="1">
      <x:c r="A391" t="str">
        <x:v>10-768-2443</x:v>
      </x:c>
      <x:c r="B391" t="str">
        <x:v>Multigrain Bread</x:v>
      </x:c>
      <x:c r="C391" t="str">
        <x:v>Katz</x:v>
      </x:c>
      <x:c r="D391" t="str">
        <x:v>Bakery</x:v>
      </x:c>
      <x:c r="E391" t="str">
        <x:v>Backordered</x:v>
      </x:c>
      <x:c r="F391" t="n">
        <x:v>93</x:v>
      </x:c>
      <x:c r="G391" t="n">
        <x:v>55</x:v>
      </x:c>
      <x:c r="H391" s="22" t="n">
        <x:v>302.25</x:v>
      </x:c>
      <x:c r="I391" t="n">
        <x:v>95</x:v>
      </x:c>
      <x:c r="J391" t="n">
        <x:v>0</x:v>
      </x:c>
    </x:row>
    <x:row r="392" ht="18" customHeight="1">
      <x:c r="A392" t="str">
        <x:v>19-112-1616</x:v>
      </x:c>
      <x:c r="B392" t="str">
        <x:v>Lettuce</x:v>
      </x:c>
      <x:c r="C392" t="str">
        <x:v>Quamba</x:v>
      </x:c>
      <x:c r="D392" t="str">
        <x:v>Fruits &amp; Vegetables</x:v>
      </x:c>
      <x:c r="E392" t="str">
        <x:v>Active</x:v>
      </x:c>
      <x:c r="F392" t="n">
        <x:v>88</x:v>
      </x:c>
      <x:c r="G392" t="n">
        <x:v>56</x:v>
      </x:c>
      <x:c r="H392" s="22" t="n">
        <x:v>176</x:v>
      </x:c>
      <x:c r="I392" t="n">
        <x:v>72</x:v>
      </x:c>
      <x:c r="J392" t="n">
        <x:v>0</x:v>
      </x:c>
    </x:row>
    <x:row r="393" ht="18" customHeight="1">
      <x:c r="A393" t="str">
        <x:v>89-388-3239</x:v>
      </x:c>
      <x:c r="B393" t="str">
        <x:v>Grapes</x:v>
      </x:c>
      <x:c r="C393" t="str">
        <x:v>Centizu</x:v>
      </x:c>
      <x:c r="D393" t="str">
        <x:v>Fruits &amp; Vegetables</x:v>
      </x:c>
      <x:c r="E393" t="str">
        <x:v>Backordered</x:v>
      </x:c>
      <x:c r="F393" t="n">
        <x:v>54</x:v>
      </x:c>
      <x:c r="G393" t="n">
        <x:v>88</x:v>
      </x:c>
      <x:c r="H393" s="22" t="n">
        <x:v>297</x:v>
      </x:c>
      <x:c r="I393" t="n">
        <x:v>43</x:v>
      </x:c>
      <x:c r="J393" t="n">
        <x:v>43</x:v>
      </x:c>
    </x:row>
    <x:row r="394" ht="18" customHeight="1">
      <x:c r="A394" t="str">
        <x:v>22-760-4605</x:v>
      </x:c>
      <x:c r="B394" t="str">
        <x:v>Yogurt</x:v>
      </x:c>
      <x:c r="C394" t="str">
        <x:v>Bubblemix</x:v>
      </x:c>
      <x:c r="D394" t="str">
        <x:v>Dairy</x:v>
      </x:c>
      <x:c r="E394" t="str">
        <x:v>Discontinued</x:v>
      </x:c>
      <x:c r="F394" t="n">
        <x:v>86</x:v>
      </x:c>
      <x:c r="G394" t="n">
        <x:v>20</x:v>
      </x:c>
      <x:c r="H394" s="22" t="n">
        <x:v>150.5</x:v>
      </x:c>
      <x:c r="I394" t="n">
        <x:v>67</x:v>
      </x:c>
      <x:c r="J394" t="n">
        <x:v>0</x:v>
      </x:c>
    </x:row>
    <x:row r="395" ht="18" customHeight="1">
      <x:c r="A395" t="str">
        <x:v>38-664-2155</x:v>
      </x:c>
      <x:c r="B395" t="str">
        <x:v>Cauliflower</x:v>
      </x:c>
      <x:c r="C395" t="str">
        <x:v>Realpoint</x:v>
      </x:c>
      <x:c r="D395" t="str">
        <x:v>Fruits &amp; Vegetables</x:v>
      </x:c>
      <x:c r="E395" t="str">
        <x:v>Discontinued</x:v>
      </x:c>
      <x:c r="F395" t="n">
        <x:v>48</x:v>
      </x:c>
      <x:c r="G395" t="n">
        <x:v>27</x:v>
      </x:c>
      <x:c r="H395" s="22" t="n">
        <x:v>122.4</x:v>
      </x:c>
      <x:c r="I395" t="n">
        <x:v>73</x:v>
      </x:c>
      <x:c r="J395" t="n">
        <x:v>0</x:v>
      </x:c>
    </x:row>
    <x:row r="396" ht="18" customHeight="1">
      <x:c r="A396" t="str">
        <x:v>89-713-6071</x:v>
      </x:c>
      <x:c r="B396" t="str">
        <x:v>Sesame Oil</x:v>
      </x:c>
      <x:c r="C396" t="str">
        <x:v>Tazz</x:v>
      </x:c>
      <x:c r="D396" t="str">
        <x:v>Oils &amp; Fats</x:v>
      </x:c>
      <x:c r="E396" t="str">
        <x:v>Active</x:v>
      </x:c>
      <x:c r="F396" t="n">
        <x:v>89</x:v>
      </x:c>
      <x:c r="G396" t="n">
        <x:v>66</x:v>
      </x:c>
      <x:c r="H396" s="22" t="n">
        <x:v>578.5</x:v>
      </x:c>
      <x:c r="I396" t="n">
        <x:v>28</x:v>
      </x:c>
      <x:c r="J396" t="n">
        <x:v>0</x:v>
      </x:c>
    </x:row>
    <x:row r="397" ht="18" customHeight="1">
      <x:c r="A397" t="str">
        <x:v>56-191-6497</x:v>
      </x:c>
      <x:c r="B397" t="str">
        <x:v>Bread Flour</x:v>
      </x:c>
      <x:c r="C397" t="str">
        <x:v>Bubblebox</x:v>
      </x:c>
      <x:c r="D397" t="str">
        <x:v>Grains &amp; Pulses</x:v>
      </x:c>
      <x:c r="E397" t="str">
        <x:v>Discontinued</x:v>
      </x:c>
      <x:c r="F397" t="n">
        <x:v>97</x:v>
      </x:c>
      <x:c r="G397" t="n">
        <x:v>41</x:v>
      </x:c>
      <x:c r="H397" s="22" t="n">
        <x:v>145.5</x:v>
      </x:c>
      <x:c r="I397" t="n">
        <x:v>68</x:v>
      </x:c>
      <x:c r="J397" t="n">
        <x:v>0</x:v>
      </x:c>
    </x:row>
    <x:row r="398" ht="18" customHeight="1">
      <x:c r="A398" t="str">
        <x:v>27-389-3529</x:v>
      </x:c>
      <x:c r="B398" t="str">
        <x:v>Haddock</x:v>
      </x:c>
      <x:c r="C398" t="str">
        <x:v>Feedfish</x:v>
      </x:c>
      <x:c r="D398" t="str">
        <x:v>Seafood</x:v>
      </x:c>
      <x:c r="E398" t="str">
        <x:v>Active</x:v>
      </x:c>
      <x:c r="F398" t="n">
        <x:v>84</x:v>
      </x:c>
      <x:c r="G398" t="n">
        <x:v>8</x:v>
      </x:c>
      <x:c r="H398" s="22" t="n">
        <x:v>756</x:v>
      </x:c>
      <x:c r="I398" t="n">
        <x:v>54</x:v>
      </x:c>
      <x:c r="J398" t="n">
        <x:v>0</x:v>
      </x:c>
    </x:row>
    <x:row r="399" ht="18" customHeight="1">
      <x:c r="A399" t="str">
        <x:v>11-604-6002</x:v>
      </x:c>
      <x:c r="B399" t="str">
        <x:v>Canola Oil</x:v>
      </x:c>
      <x:c r="C399" t="str">
        <x:v>Kimia</x:v>
      </x:c>
      <x:c r="D399" t="str">
        <x:v>Oils &amp; Fats</x:v>
      </x:c>
      <x:c r="E399" t="str">
        <x:v>Backordered</x:v>
      </x:c>
      <x:c r="F399" t="n">
        <x:v>69</x:v>
      </x:c>
      <x:c r="G399" t="n">
        <x:v>17</x:v>
      </x:c>
      <x:c r="H399" s="22" t="n">
        <x:v>158.7</x:v>
      </x:c>
      <x:c r="I399" t="n">
        <x:v>27</x:v>
      </x:c>
      <x:c r="J399" t="n">
        <x:v>0</x:v>
      </x:c>
    </x:row>
    <x:row r="400" ht="18" customHeight="1">
      <x:c r="A400" t="str">
        <x:v>20-448-2972</x:v>
      </x:c>
      <x:c r="B400" t="str">
        <x:v>Asparagus</x:v>
      </x:c>
      <x:c r="C400" t="str">
        <x:v>Buzzbean</x:v>
      </x:c>
      <x:c r="D400" t="str">
        <x:v>Fruits &amp; Vegetables</x:v>
      </x:c>
      <x:c r="E400" t="str">
        <x:v>Discontinued</x:v>
      </x:c>
      <x:c r="F400" t="n">
        <x:v>80</x:v>
      </x:c>
      <x:c r="G400" t="n">
        <x:v>6</x:v>
      </x:c>
      <x:c r="H400" s="22" t="n">
        <x:v>400</x:v>
      </x:c>
      <x:c r="I400" t="n">
        <x:v>92</x:v>
      </x:c>
      <x:c r="J400" t="n">
        <x:v>0</x:v>
      </x:c>
    </x:row>
    <x:row r="401" ht="18" customHeight="1">
      <x:c r="A401" t="str">
        <x:v>77-959-1018</x:v>
      </x:c>
      <x:c r="B401" t="str">
        <x:v>Lettuce</x:v>
      </x:c>
      <x:c r="C401" t="str">
        <x:v>Gigabox</x:v>
      </x:c>
      <x:c r="D401" t="str">
        <x:v>Fruits &amp; Vegetables</x:v>
      </x:c>
      <x:c r="E401" t="str">
        <x:v>Backordered</x:v>
      </x:c>
      <x:c r="F401" t="n">
        <x:v>22</x:v>
      </x:c>
      <x:c r="G401" t="n">
        <x:v>22</x:v>
      </x:c>
      <x:c r="H401" s="22" t="n">
        <x:v>44</x:v>
      </x:c>
      <x:c r="I401" t="n">
        <x:v>65</x:v>
      </x:c>
      <x:c r="J401" t="n">
        <x:v>0</x:v>
      </x:c>
    </x:row>
    <x:row r="402" ht="18" customHeight="1">
      <x:c r="A402" t="str">
        <x:v>69-895-3397</x:v>
      </x:c>
      <x:c r="B402" t="str">
        <x:v>Cucumber</x:v>
      </x:c>
      <x:c r="C402" t="str">
        <x:v>Yabox</x:v>
      </x:c>
      <x:c r="D402" t="str">
        <x:v>Fruits &amp; Vegetables</x:v>
      </x:c>
      <x:c r="E402" t="str">
        <x:v>Discontinued</x:v>
      </x:c>
      <x:c r="F402" t="n">
        <x:v>28</x:v>
      </x:c>
      <x:c r="G402" t="n">
        <x:v>5</x:v>
      </x:c>
      <x:c r="H402" s="22" t="n">
        <x:v>50.4</x:v>
      </x:c>
      <x:c r="I402" t="n">
        <x:v>9</x:v>
      </x:c>
      <x:c r="J402" t="n">
        <x:v>0</x:v>
      </x:c>
    </x:row>
    <x:row r="403" ht="18" customHeight="1">
      <x:c r="A403" t="str">
        <x:v>32-933-0329</x:v>
      </x:c>
      <x:c r="B403" t="str">
        <x:v>Blueberries</x:v>
      </x:c>
      <x:c r="C403" t="str">
        <x:v>Linklinks</x:v>
      </x:c>
      <x:c r="D403" t="str">
        <x:v>Fruits &amp; Vegetables</x:v>
      </x:c>
      <x:c r="E403" t="str">
        <x:v>Active</x:v>
      </x:c>
      <x:c r="F403" t="n">
        <x:v>23</x:v>
      </x:c>
      <x:c r="G403" t="n">
        <x:v>38</x:v>
      </x:c>
      <x:c r="H403" s="22" t="n">
        <x:v>230</x:v>
      </x:c>
      <x:c r="I403" t="n">
        <x:v>54</x:v>
      </x:c>
      <x:c r="J403" t="n">
        <x:v>54</x:v>
      </x:c>
    </x:row>
    <x:row r="404" ht="18" customHeight="1">
      <x:c r="A404" t="str">
        <x:v>33-440-2588</x:v>
      </x:c>
      <x:c r="B404" t="str">
        <x:v>Bell Pepper</x:v>
      </x:c>
      <x:c r="C404" t="str">
        <x:v>Tagpad</x:v>
      </x:c>
      <x:c r="D404" t="str">
        <x:v>Fruits &amp; Vegetables</x:v>
      </x:c>
      <x:c r="E404" t="str">
        <x:v>Backordered</x:v>
      </x:c>
      <x:c r="F404" t="n">
        <x:v>26</x:v>
      </x:c>
      <x:c r="G404" t="n">
        <x:v>12</x:v>
      </x:c>
      <x:c r="H404" s="22" t="n">
        <x:v>114.4</x:v>
      </x:c>
      <x:c r="I404" t="n">
        <x:v>43</x:v>
      </x:c>
      <x:c r="J404" t="n">
        <x:v>0</x:v>
      </x:c>
    </x:row>
    <x:row r="405" ht="18" customHeight="1">
      <x:c r="A405" t="str">
        <x:v>02-085-7218</x:v>
      </x:c>
      <x:c r="B405" t="str">
        <x:v>Cheddar Cheese</x:v>
      </x:c>
      <x:c r="C405" t="str">
        <x:v>Oyonder</x:v>
      </x:c>
      <x:c r="D405" t="str">
        <x:v>Dairy</x:v>
      </x:c>
      <x:c r="E405" t="str">
        <x:v>Backordered</x:v>
      </x:c>
      <x:c r="F405" t="n">
        <x:v>85</x:v>
      </x:c>
      <x:c r="G405" t="n">
        <x:v>28</x:v>
      </x:c>
      <x:c r="H405" s="22" t="n">
        <x:v>756.5</x:v>
      </x:c>
      <x:c r="I405" t="n">
        <x:v>32</x:v>
      </x:c>
      <x:c r="J405" t="n">
        <x:v>0</x:v>
      </x:c>
    </x:row>
    <x:row r="406" ht="18" customHeight="1">
      <x:c r="A406" t="str">
        <x:v>43-193-9915</x:v>
      </x:c>
      <x:c r="B406" t="str">
        <x:v>Mozzarella Cheese</x:v>
      </x:c>
      <x:c r="C406" t="str">
        <x:v>Roodel</x:v>
      </x:c>
      <x:c r="D406" t="str">
        <x:v>Dairy</x:v>
      </x:c>
      <x:c r="E406" t="str">
        <x:v>Discontinued</x:v>
      </x:c>
      <x:c r="F406" t="n">
        <x:v>55</x:v>
      </x:c>
      <x:c r="G406" t="n">
        <x:v>58</x:v>
      </x:c>
      <x:c r="H406" s="22" t="n">
        <x:v>396</x:v>
      </x:c>
      <x:c r="I406" t="n">
        <x:v>6</x:v>
      </x:c>
      <x:c r="J406" t="n">
        <x:v>0</x:v>
      </x:c>
    </x:row>
    <x:row r="407" ht="18" customHeight="1">
      <x:c r="A407" t="str">
        <x:v>62-998-7250</x:v>
      </x:c>
      <x:c r="B407" t="str">
        <x:v>Evaporated Milk</x:v>
      </x:c>
      <x:c r="C407" t="str">
        <x:v>Photobug</x:v>
      </x:c>
      <x:c r="D407" t="str">
        <x:v>Dairy</x:v>
      </x:c>
      <x:c r="E407" t="str">
        <x:v>Backordered</x:v>
      </x:c>
      <x:c r="F407" t="n">
        <x:v>72</x:v>
      </x:c>
      <x:c r="G407" t="n">
        <x:v>3</x:v>
      </x:c>
      <x:c r="H407" s="22" t="n">
        <x:v>144</x:v>
      </x:c>
      <x:c r="I407" t="n">
        <x:v>10</x:v>
      </x:c>
      <x:c r="J407" t="n">
        <x:v>0</x:v>
      </x:c>
    </x:row>
    <x:row r="408" ht="18" customHeight="1">
      <x:c r="A408" t="str">
        <x:v>70-871-4536</x:v>
      </x:c>
      <x:c r="B408" t="str">
        <x:v>Swiss Cheese</x:v>
      </x:c>
      <x:c r="C408" t="str">
        <x:v>Cogilith</x:v>
      </x:c>
      <x:c r="D408" t="str">
        <x:v>Dairy</x:v>
      </x:c>
      <x:c r="E408" t="str">
        <x:v>Active</x:v>
      </x:c>
      <x:c r="F408" t="n">
        <x:v>29</x:v>
      </x:c>
      <x:c r="G408" t="n">
        <x:v>4</x:v>
      </x:c>
      <x:c r="H408" s="22" t="n">
        <x:v>232</x:v>
      </x:c>
      <x:c r="I408" t="n">
        <x:v>17</x:v>
      </x:c>
      <x:c r="J408" t="n">
        <x:v>0</x:v>
      </x:c>
    </x:row>
    <x:row r="409" ht="18" customHeight="1">
      <x:c r="A409" t="str">
        <x:v>38-822-8005</x:v>
      </x:c>
      <x:c r="B409" t="str">
        <x:v>Cucumber</x:v>
      </x:c>
      <x:c r="C409" t="str">
        <x:v>Innojam</x:v>
      </x:c>
      <x:c r="D409" t="str">
        <x:v>Fruits &amp; Vegetables</x:v>
      </x:c>
      <x:c r="E409" t="str">
        <x:v>Backordered</x:v>
      </x:c>
      <x:c r="F409" t="n">
        <x:v>47</x:v>
      </x:c>
      <x:c r="G409" t="n">
        <x:v>20</x:v>
      </x:c>
      <x:c r="H409" s="22" t="n">
        <x:v>82.25</x:v>
      </x:c>
      <x:c r="I409" t="n">
        <x:v>65</x:v>
      </x:c>
      <x:c r="J409" t="n">
        <x:v>0</x:v>
      </x:c>
    </x:row>
    <x:row r="410" ht="18" customHeight="1">
      <x:c r="A410" t="str">
        <x:v>38-390-2115</x:v>
      </x:c>
      <x:c r="B410" t="str">
        <x:v>Potato</x:v>
      </x:c>
      <x:c r="C410" t="str">
        <x:v>Rhyzio</x:v>
      </x:c>
      <x:c r="D410" t="str">
        <x:v>Fruits &amp; Vegetables</x:v>
      </x:c>
      <x:c r="E410" t="str">
        <x:v>Active</x:v>
      </x:c>
      <x:c r="F410" t="n">
        <x:v>42</x:v>
      </x:c>
      <x:c r="G410" t="n">
        <x:v>69</x:v>
      </x:c>
      <x:c r="H410" s="22" t="n">
        <x:v>50.4</x:v>
      </x:c>
      <x:c r="I410" t="n">
        <x:v>54</x:v>
      </x:c>
      <x:c r="J410" t="n">
        <x:v>54</x:v>
      </x:c>
    </x:row>
    <x:row r="411" ht="18" customHeight="1">
      <x:c r="A411" t="str">
        <x:v>28-968-4195</x:v>
      </x:c>
      <x:c r="B411" t="str">
        <x:v>Eggplant</x:v>
      </x:c>
      <x:c r="C411" t="str">
        <x:v>Blogtag</x:v>
      </x:c>
      <x:c r="D411" t="str">
        <x:v>Fruits &amp; Vegetables</x:v>
      </x:c>
      <x:c r="E411" t="str">
        <x:v>Backordered</x:v>
      </x:c>
      <x:c r="F411" t="n">
        <x:v>97</x:v>
      </x:c>
      <x:c r="G411" t="n">
        <x:v>52</x:v>
      </x:c>
      <x:c r="H411" s="22" t="n">
        <x:v>291</x:v>
      </x:c>
      <x:c r="I411" t="n">
        <x:v>80</x:v>
      </x:c>
      <x:c r="J411" t="n">
        <x:v>0</x:v>
      </x:c>
    </x:row>
    <x:row r="412" ht="18" customHeight="1">
      <x:c r="A412" t="str">
        <x:v>09-286-8107</x:v>
      </x:c>
      <x:c r="B412" t="str">
        <x:v>Greek Yogurt</x:v>
      </x:c>
      <x:c r="C412" t="str">
        <x:v>Skyndu</x:v>
      </x:c>
      <x:c r="D412" t="str">
        <x:v>Dairy</x:v>
      </x:c>
      <x:c r="E412" t="str">
        <x:v>Discontinued</x:v>
      </x:c>
      <x:c r="F412" t="n">
        <x:v>90</x:v>
      </x:c>
      <x:c r="G412" t="n">
        <x:v>62</x:v>
      </x:c>
      <x:c r="H412" s="22" t="n">
        <x:v>270</x:v>
      </x:c>
      <x:c r="I412" t="n">
        <x:v>54</x:v>
      </x:c>
      <x:c r="J412" t="n">
        <x:v>0</x:v>
      </x:c>
    </x:row>
    <x:row r="413" ht="18" customHeight="1">
      <x:c r="A413" t="str">
        <x:v>00-405-7428</x:v>
      </x:c>
      <x:c r="B413" t="str">
        <x:v>Apple</x:v>
      </x:c>
      <x:c r="C413" t="str">
        <x:v>Zava</x:v>
      </x:c>
      <x:c r="D413" t="str">
        <x:v>Fruits &amp; Vegetables</x:v>
      </x:c>
      <x:c r="E413" t="str">
        <x:v>Discontinued</x:v>
      </x:c>
      <x:c r="F413" t="n">
        <x:v>81</x:v>
      </x:c>
      <x:c r="G413" t="n">
        <x:v>74</x:v>
      </x:c>
      <x:c r="H413" s="22" t="n">
        <x:v>283.5</x:v>
      </x:c>
      <x:c r="I413" t="n">
        <x:v>45</x:v>
      </x:c>
      <x:c r="J413" t="n">
        <x:v>0</x:v>
      </x:c>
    </x:row>
    <x:row r="414" ht="18" customHeight="1">
      <x:c r="A414" t="str">
        <x:v>43-893-5408</x:v>
      </x:c>
      <x:c r="B414" t="str">
        <x:v>Short Grain Rice</x:v>
      </x:c>
      <x:c r="C414" t="str">
        <x:v>Snaptags</x:v>
      </x:c>
      <x:c r="D414" t="str">
        <x:v>Grains &amp; Pulses</x:v>
      </x:c>
      <x:c r="E414" t="str">
        <x:v>Discontinued</x:v>
      </x:c>
      <x:c r="F414" t="n">
        <x:v>60</x:v>
      </x:c>
      <x:c r="G414" t="n">
        <x:v>90</x:v>
      </x:c>
      <x:c r="H414" s="22" t="n">
        <x:v>180</x:v>
      </x:c>
      <x:c r="I414" t="n">
        <x:v>85</x:v>
      </x:c>
      <x:c r="J414" t="n">
        <x:v>0</x:v>
      </x:c>
    </x:row>
    <x:row r="415" ht="18" customHeight="1">
      <x:c r="A415" t="str">
        <x:v>52-481-5224</x:v>
      </x:c>
      <x:c r="B415" t="str">
        <x:v>Kiwi</x:v>
      </x:c>
      <x:c r="C415" t="str">
        <x:v>Fiveclub</x:v>
      </x:c>
      <x:c r="D415" t="str">
        <x:v>Fruits &amp; Vegetables</x:v>
      </x:c>
      <x:c r="E415" t="str">
        <x:v>Backordered</x:v>
      </x:c>
      <x:c r="F415" t="n">
        <x:v>45</x:v>
      </x:c>
      <x:c r="G415" t="n">
        <x:v>24</x:v>
      </x:c>
      <x:c r="H415" s="22" t="n">
        <x:v>270</x:v>
      </x:c>
      <x:c r="I415" t="n">
        <x:v>61</x:v>
      </x:c>
      <x:c r="J415" t="n">
        <x:v>0</x:v>
      </x:c>
    </x:row>
    <x:row r="416" ht="18" customHeight="1">
      <x:c r="A416" t="str">
        <x:v>34-131-8805</x:v>
      </x:c>
      <x:c r="B416" t="str">
        <x:v>Yogurt</x:v>
      </x:c>
      <x:c r="C416" t="str">
        <x:v>Eimbee</x:v>
      </x:c>
      <x:c r="D416" t="str">
        <x:v>Dairy</x:v>
      </x:c>
      <x:c r="E416" t="str">
        <x:v>Discontinued</x:v>
      </x:c>
      <x:c r="F416" t="n">
        <x:v>92</x:v>
      </x:c>
      <x:c r="G416" t="n">
        <x:v>92</x:v>
      </x:c>
      <x:c r="H416" s="22" t="n">
        <x:v>161</x:v>
      </x:c>
      <x:c r="I416" t="n">
        <x:v>28</x:v>
      </x:c>
      <x:c r="J416" t="n">
        <x:v>0</x:v>
      </x:c>
    </x:row>
    <x:row r="417" ht="18" customHeight="1">
      <x:c r="A417" t="str">
        <x:v>36-840-2728</x:v>
      </x:c>
      <x:c r="B417" t="str">
        <x:v>Mackerel</x:v>
      </x:c>
      <x:c r="C417" t="str">
        <x:v>Dabfeed</x:v>
      </x:c>
      <x:c r="D417" t="str">
        <x:v>Seafood</x:v>
      </x:c>
      <x:c r="E417" t="str">
        <x:v>Discontinued</x:v>
      </x:c>
      <x:c r="F417" t="n">
        <x:v>76</x:v>
      </x:c>
      <x:c r="G417" t="n">
        <x:v>21</x:v>
      </x:c>
      <x:c r="H417" s="22" t="n">
        <x:v>570</x:v>
      </x:c>
      <x:c r="I417" t="n">
        <x:v>3</x:v>
      </x:c>
      <x:c r="J417" t="n">
        <x:v>0</x:v>
      </x:c>
    </x:row>
    <x:row r="418" ht="18" customHeight="1">
      <x:c r="A418" t="str">
        <x:v>64-418-8356</x:v>
      </x:c>
      <x:c r="B418" t="str">
        <x:v>Sunflower Oil</x:v>
      </x:c>
      <x:c r="C418" t="str">
        <x:v>Ooba</x:v>
      </x:c>
      <x:c r="D418" t="str">
        <x:v>Oils &amp; Fats</x:v>
      </x:c>
      <x:c r="E418" t="str">
        <x:v>Active</x:v>
      </x:c>
      <x:c r="F418" t="n">
        <x:v>80</x:v>
      </x:c>
      <x:c r="G418" t="n">
        <x:v>24</x:v>
      </x:c>
      <x:c r="H418" s="22" t="n">
        <x:v>200</x:v>
      </x:c>
      <x:c r="I418" t="n">
        <x:v>60</x:v>
      </x:c>
      <x:c r="J418" t="n">
        <x:v>0</x:v>
      </x:c>
    </x:row>
    <x:row r="419" ht="18" customHeight="1">
      <x:c r="A419" t="str">
        <x:v>51-462-0747</x:v>
      </x:c>
      <x:c r="B419" t="str">
        <x:v>Lime</x:v>
      </x:c>
      <x:c r="C419" t="str">
        <x:v>Vinder</x:v>
      </x:c>
      <x:c r="D419" t="str">
        <x:v>Fruits &amp; Vegetables</x:v>
      </x:c>
      <x:c r="E419" t="str">
        <x:v>Backordered</x:v>
      </x:c>
      <x:c r="F419" t="n">
        <x:v>21</x:v>
      </x:c>
      <x:c r="G419" t="n">
        <x:v>30</x:v>
      </x:c>
      <x:c r="H419" s="22" t="n">
        <x:v>42</x:v>
      </x:c>
      <x:c r="I419" t="n">
        <x:v>32</x:v>
      </x:c>
      <x:c r="J419" t="n">
        <x:v>32</x:v>
      </x:c>
    </x:row>
    <x:row r="420" ht="18" customHeight="1">
      <x:c r="A420" t="str">
        <x:v>74-711-7160</x:v>
      </x:c>
      <x:c r="B420" t="str">
        <x:v>Sushi Rice</x:v>
      </x:c>
      <x:c r="C420" t="str">
        <x:v>Meembee</x:v>
      </x:c>
      <x:c r="D420" t="str">
        <x:v>Grains &amp; Pulses</x:v>
      </x:c>
      <x:c r="E420" t="str">
        <x:v>Backordered</x:v>
      </x:c>
      <x:c r="F420" t="n">
        <x:v>84</x:v>
      </x:c>
      <x:c r="G420" t="n">
        <x:v>69</x:v>
      </x:c>
      <x:c r="H420" s="22" t="n">
        <x:v>378</x:v>
      </x:c>
      <x:c r="I420" t="n">
        <x:v>77</x:v>
      </x:c>
      <x:c r="J420" t="n">
        <x:v>0</x:v>
      </x:c>
    </x:row>
    <x:row r="421" ht="18" customHeight="1">
      <x:c r="A421" t="str">
        <x:v>44-637-5512</x:v>
      </x:c>
      <x:c r="B421" t="str">
        <x:v>Watermelon</x:v>
      </x:c>
      <x:c r="C421" t="str">
        <x:v>Jaxspan</x:v>
      </x:c>
      <x:c r="D421" t="str">
        <x:v>Fruits &amp; Vegetables</x:v>
      </x:c>
      <x:c r="E421" t="str">
        <x:v>Active</x:v>
      </x:c>
      <x:c r="F421" t="n">
        <x:v>58</x:v>
      </x:c>
      <x:c r="G421" t="n">
        <x:v>12</x:v>
      </x:c>
      <x:c r="H421" s="22" t="n">
        <x:v>174</x:v>
      </x:c>
      <x:c r="I421" t="n">
        <x:v>99</x:v>
      </x:c>
      <x:c r="J421" t="n">
        <x:v>0</x:v>
      </x:c>
    </x:row>
    <x:row r="422" ht="18" customHeight="1">
      <x:c r="A422" t="str">
        <x:v>27-881-1177</x:v>
      </x:c>
      <x:c r="B422" t="str">
        <x:v>Green Tea</x:v>
      </x:c>
      <x:c r="C422" t="str">
        <x:v>Skalith</x:v>
      </x:c>
      <x:c r="D422" t="str">
        <x:v>Beverages</x:v>
      </x:c>
      <x:c r="E422" t="str">
        <x:v>Backordered</x:v>
      </x:c>
      <x:c r="F422" t="n">
        <x:v>34</x:v>
      </x:c>
      <x:c r="G422" t="n">
        <x:v>47</x:v>
      </x:c>
      <x:c r="H422" s="22" t="n">
        <x:v>272</x:v>
      </x:c>
      <x:c r="I422" t="n">
        <x:v>99</x:v>
      </x:c>
      <x:c r="J422" t="n">
        <x:v>99</x:v>
      </x:c>
    </x:row>
    <x:row r="423" ht="18" customHeight="1">
      <x:c r="A423" t="str">
        <x:v>72-404-5581</x:v>
      </x:c>
      <x:c r="B423" t="str">
        <x:v>Almond Flour</x:v>
      </x:c>
      <x:c r="C423" t="str">
        <x:v>Pixonyx</x:v>
      </x:c>
      <x:c r="D423" t="str">
        <x:v>Grains &amp; Pulses</x:v>
      </x:c>
      <x:c r="E423" t="str">
        <x:v>Active</x:v>
      </x:c>
      <x:c r="F423" t="n">
        <x:v>54</x:v>
      </x:c>
      <x:c r="G423" t="n">
        <x:v>17</x:v>
      </x:c>
      <x:c r="H423" s="22" t="n">
        <x:v>513</x:v>
      </x:c>
      <x:c r="I423" t="n">
        <x:v>90</x:v>
      </x:c>
      <x:c r="J423" t="n">
        <x:v>0</x:v>
      </x:c>
    </x:row>
    <x:row r="424" ht="18" customHeight="1">
      <x:c r="A424" t="str">
        <x:v>12-046-2988</x:v>
      </x:c>
      <x:c r="B424" t="str">
        <x:v>Corn Oil</x:v>
      </x:c>
      <x:c r="C424" t="str">
        <x:v>Youbridge</x:v>
      </x:c>
      <x:c r="D424" t="str">
        <x:v>Oils &amp; Fats</x:v>
      </x:c>
      <x:c r="E424" t="str">
        <x:v>Backordered</x:v>
      </x:c>
      <x:c r="F424" t="n">
        <x:v>17</x:v>
      </x:c>
      <x:c r="G424" t="n">
        <x:v>63</x:v>
      </x:c>
      <x:c r="H424" s="22" t="n">
        <x:v>42.5</x:v>
      </x:c>
      <x:c r="I424" t="n">
        <x:v>66</x:v>
      </x:c>
      <x:c r="J424" t="n">
        <x:v>66</x:v>
      </x:c>
    </x:row>
    <x:row r="425" ht="18" customHeight="1">
      <x:c r="A425" t="str">
        <x:v>21-816-1004</x:v>
      </x:c>
      <x:c r="B425" t="str">
        <x:v>Black Coffee</x:v>
      </x:c>
      <x:c r="C425" t="str">
        <x:v>Realpoint</x:v>
      </x:c>
      <x:c r="D425" t="str">
        <x:v>Beverages</x:v>
      </x:c>
      <x:c r="E425" t="str">
        <x:v>Backordered</x:v>
      </x:c>
      <x:c r="F425" t="n">
        <x:v>84</x:v>
      </x:c>
      <x:c r="G425" t="n">
        <x:v>13</x:v>
      </x:c>
      <x:c r="H425" s="22" t="n">
        <x:v>1260</x:v>
      </x:c>
      <x:c r="I425" t="n">
        <x:v>88</x:v>
      </x:c>
      <x:c r="J425" t="n">
        <x:v>0</x:v>
      </x:c>
    </x:row>
    <x:row r="426" ht="18" customHeight="1">
      <x:c r="A426" t="str">
        <x:v>81-605-6246</x:v>
      </x:c>
      <x:c r="B426" t="str">
        <x:v>Sardines</x:v>
      </x:c>
      <x:c r="C426" t="str">
        <x:v>Shufflester</x:v>
      </x:c>
      <x:c r="D426" t="str">
        <x:v>Seafood</x:v>
      </x:c>
      <x:c r="E426" t="str">
        <x:v>Discontinued</x:v>
      </x:c>
      <x:c r="F426" t="n">
        <x:v>73</x:v>
      </x:c>
      <x:c r="G426" t="n">
        <x:v>31</x:v>
      </x:c>
      <x:c r="H426" s="22" t="n">
        <x:v>438</x:v>
      </x:c>
      <x:c r="I426" t="n">
        <x:v>49</x:v>
      </x:c>
      <x:c r="J426" t="n">
        <x:v>0</x:v>
      </x:c>
    </x:row>
    <x:row r="427" ht="18" customHeight="1">
      <x:c r="A427" t="str">
        <x:v>11-815-7923</x:v>
      </x:c>
      <x:c r="B427" t="str">
        <x:v>Parmesan Cheese</x:v>
      </x:c>
      <x:c r="C427" t="str">
        <x:v>Rhyloo</x:v>
      </x:c>
      <x:c r="D427" t="str">
        <x:v>Dairy</x:v>
      </x:c>
      <x:c r="E427" t="str">
        <x:v>Active</x:v>
      </x:c>
      <x:c r="F427" t="n">
        <x:v>96</x:v>
      </x:c>
      <x:c r="G427" t="n">
        <x:v>9</x:v>
      </x:c>
      <x:c r="H427" s="22" t="n">
        <x:v>1132.8</x:v>
      </x:c>
      <x:c r="I427" t="n">
        <x:v>57</x:v>
      </x:c>
      <x:c r="J427" t="n">
        <x:v>0</x:v>
      </x:c>
    </x:row>
    <x:row r="428" ht="18" customHeight="1">
      <x:c r="A428" t="str">
        <x:v>26-456-1992</x:v>
      </x:c>
      <x:c r="B428" t="str">
        <x:v>Tilapia</x:v>
      </x:c>
      <x:c r="C428" t="str">
        <x:v>Geba</x:v>
      </x:c>
      <x:c r="D428" t="str">
        <x:v>Seafood</x:v>
      </x:c>
      <x:c r="E428" t="str">
        <x:v>Active</x:v>
      </x:c>
      <x:c r="F428" t="n">
        <x:v>56</x:v>
      </x:c>
      <x:c r="G428" t="n">
        <x:v>59</x:v>
      </x:c>
      <x:c r="H428" s="22" t="n">
        <x:v>392</x:v>
      </x:c>
      <x:c r="I428" t="n">
        <x:v>87</x:v>
      </x:c>
      <x:c r="J428" t="n">
        <x:v>87</x:v>
      </x:c>
    </x:row>
    <x:row r="429" ht="18" customHeight="1">
      <x:c r="A429" t="str">
        <x:v>63-168-6018</x:v>
      </x:c>
      <x:c r="B429" t="str">
        <x:v>Cucumber</x:v>
      </x:c>
      <x:c r="C429" t="str">
        <x:v>Bubblemix</x:v>
      </x:c>
      <x:c r="D429" t="str">
        <x:v>Fruits &amp; Vegetables</x:v>
      </x:c>
      <x:c r="E429" t="str">
        <x:v>Active</x:v>
      </x:c>
      <x:c r="F429" t="n">
        <x:v>60</x:v>
      </x:c>
      <x:c r="G429" t="n">
        <x:v>63</x:v>
      </x:c>
      <x:c r="H429" s="22" t="n">
        <x:v>108</x:v>
      </x:c>
      <x:c r="I429" t="n">
        <x:v>81</x:v>
      </x:c>
      <x:c r="J429" t="n">
        <x:v>81</x:v>
      </x:c>
    </x:row>
    <x:row r="430" ht="18" customHeight="1">
      <x:c r="A430" t="str">
        <x:v>70-854-6891</x:v>
      </x:c>
      <x:c r="B430" t="str">
        <x:v>Sourdough Bread</x:v>
      </x:c>
      <x:c r="C430" t="str">
        <x:v>Flashspan</x:v>
      </x:c>
      <x:c r="D430" t="str">
        <x:v>Bakery</x:v>
      </x:c>
      <x:c r="E430" t="str">
        <x:v>Active</x:v>
      </x:c>
      <x:c r="F430" t="n">
        <x:v>41</x:v>
      </x:c>
      <x:c r="G430" t="n">
        <x:v>84</x:v>
      </x:c>
      <x:c r="H430" s="22" t="n">
        <x:v>164</x:v>
      </x:c>
      <x:c r="I430" t="n">
        <x:v>90</x:v>
      </x:c>
      <x:c r="J430" t="n">
        <x:v>90</x:v>
      </x:c>
    </x:row>
    <x:row r="431" ht="18" customHeight="1">
      <x:c r="A431" t="str">
        <x:v>87-762-1317</x:v>
      </x:c>
      <x:c r="B431" t="str">
        <x:v>Mozzarella Cheese</x:v>
      </x:c>
      <x:c r="C431" t="str">
        <x:v>Dazzlesphere</x:v>
      </x:c>
      <x:c r="D431" t="str">
        <x:v>Dairy</x:v>
      </x:c>
      <x:c r="E431" t="str">
        <x:v>Discontinued</x:v>
      </x:c>
      <x:c r="F431" t="n">
        <x:v>45</x:v>
      </x:c>
      <x:c r="G431" t="n">
        <x:v>63</x:v>
      </x:c>
      <x:c r="H431" s="22" t="n">
        <x:v>315</x:v>
      </x:c>
      <x:c r="I431" t="n">
        <x:v>75</x:v>
      </x:c>
      <x:c r="J431" t="n">
        <x:v>0</x:v>
      </x:c>
    </x:row>
    <x:row r="432" ht="18" customHeight="1">
      <x:c r="A432" t="str">
        <x:v>80-374-5711</x:v>
      </x:c>
      <x:c r="B432" t="str">
        <x:v>Herbal Tea</x:v>
      </x:c>
      <x:c r="C432" t="str">
        <x:v>Browsecat</x:v>
      </x:c>
      <x:c r="D432" t="str">
        <x:v>Beverages</x:v>
      </x:c>
      <x:c r="E432" t="str">
        <x:v>Backordered</x:v>
      </x:c>
      <x:c r="F432" t="n">
        <x:v>48</x:v>
      </x:c>
      <x:c r="G432" t="n">
        <x:v>77</x:v>
      </x:c>
      <x:c r="H432" s="22" t="n">
        <x:v>1488</x:v>
      </x:c>
      <x:c r="I432" t="n">
        <x:v>81</x:v>
      </x:c>
      <x:c r="J432" t="n">
        <x:v>81</x:v>
      </x:c>
    </x:row>
    <x:row r="433" ht="18" customHeight="1">
      <x:c r="A433" t="str">
        <x:v>60-456-8169</x:v>
      </x:c>
      <x:c r="B433" t="str">
        <x:v>Cheddar Cheese</x:v>
      </x:c>
      <x:c r="C433" t="str">
        <x:v>Oyoba</x:v>
      </x:c>
      <x:c r="D433" t="str">
        <x:v>Dairy</x:v>
      </x:c>
      <x:c r="E433" t="str">
        <x:v>Backordered</x:v>
      </x:c>
      <x:c r="F433" t="n">
        <x:v>21</x:v>
      </x:c>
      <x:c r="G433" t="n">
        <x:v>28</x:v>
      </x:c>
      <x:c r="H433" s="22" t="n">
        <x:v>189</x:v>
      </x:c>
      <x:c r="I433" t="n">
        <x:v>72</x:v>
      </x:c>
      <x:c r="J433" t="n">
        <x:v>72</x:v>
      </x:c>
    </x:row>
    <x:row r="434" ht="18" customHeight="1">
      <x:c r="A434" t="str">
        <x:v>99-543-5039</x:v>
      </x:c>
      <x:c r="B434" t="str">
        <x:v>Lemon</x:v>
      </x:c>
      <x:c r="C434" t="str">
        <x:v>Livetube</x:v>
      </x:c>
      <x:c r="D434" t="str">
        <x:v>Fruits &amp; Vegetables</x:v>
      </x:c>
      <x:c r="E434" t="str">
        <x:v>Backordered</x:v>
      </x:c>
      <x:c r="F434" t="n">
        <x:v>65</x:v>
      </x:c>
      <x:c r="G434" t="n">
        <x:v>88</x:v>
      </x:c>
      <x:c r="H434" s="22" t="n">
        <x:v>162.5</x:v>
      </x:c>
      <x:c r="I434" t="n">
        <x:v>20</x:v>
      </x:c>
      <x:c r="J434" t="n">
        <x:v>23</x:v>
      </x:c>
    </x:row>
    <x:row r="435" ht="18" customHeight="1">
      <x:c r="A435" t="str">
        <x:v>72-810-9753</x:v>
      </x:c>
      <x:c r="B435" t="str">
        <x:v>Sesame Oil</x:v>
      </x:c>
      <x:c r="C435" t="str">
        <x:v>Yotz</x:v>
      </x:c>
      <x:c r="D435" t="str">
        <x:v>Oils &amp; Fats</x:v>
      </x:c>
      <x:c r="E435" t="str">
        <x:v>Active</x:v>
      </x:c>
      <x:c r="F435" t="n">
        <x:v>14</x:v>
      </x:c>
      <x:c r="G435" t="n">
        <x:v>84</x:v>
      </x:c>
      <x:c r="H435" s="22" t="n">
        <x:v>91</x:v>
      </x:c>
      <x:c r="I435" t="n">
        <x:v>15</x:v>
      </x:c>
      <x:c r="J435" t="n">
        <x:v>70</x:v>
      </x:c>
    </x:row>
    <x:row r="436" ht="18" customHeight="1">
      <x:c r="A436" t="str">
        <x:v>78-956-4737</x:v>
      </x:c>
      <x:c r="B436" t="str">
        <x:v>Sushi Rice</x:v>
      </x:c>
      <x:c r="C436" t="str">
        <x:v>Photobug</x:v>
      </x:c>
      <x:c r="D436" t="str">
        <x:v>Grains &amp; Pulses</x:v>
      </x:c>
      <x:c r="E436" t="str">
        <x:v>Discontinued</x:v>
      </x:c>
      <x:c r="F436" t="n">
        <x:v>47</x:v>
      </x:c>
      <x:c r="G436" t="n">
        <x:v>1</x:v>
      </x:c>
      <x:c r="H436" s="22" t="n">
        <x:v>197.4</x:v>
      </x:c>
      <x:c r="I436" t="n">
        <x:v>60</x:v>
      </x:c>
      <x:c r="J436" t="n">
        <x:v>0</x:v>
      </x:c>
    </x:row>
    <x:row r="437" ht="18" customHeight="1">
      <x:c r="A437" t="str">
        <x:v>46-415-8633</x:v>
      </x:c>
      <x:c r="B437" t="str">
        <x:v>Apple</x:v>
      </x:c>
      <x:c r="C437" t="str">
        <x:v>Omba</x:v>
      </x:c>
      <x:c r="D437" t="str">
        <x:v>Fruits &amp; Vegetables</x:v>
      </x:c>
      <x:c r="E437" t="str">
        <x:v>Backordered</x:v>
      </x:c>
      <x:c r="F437" t="n">
        <x:v>71</x:v>
      </x:c>
      <x:c r="G437" t="n">
        <x:v>36</x:v>
      </x:c>
      <x:c r="H437" s="22" t="n">
        <x:v>248.5</x:v>
      </x:c>
      <x:c r="I437" t="n">
        <x:v>45</x:v>
      </x:c>
      <x:c r="J437" t="n">
        <x:v>0</x:v>
      </x:c>
    </x:row>
    <x:row r="438" ht="18" customHeight="1">
      <x:c r="A438" t="str">
        <x:v>06-611-5454</x:v>
      </x:c>
      <x:c r="B438" t="str">
        <x:v>Peanut Oil</x:v>
      </x:c>
      <x:c r="C438" t="str">
        <x:v>Bluezoom</x:v>
      </x:c>
      <x:c r="D438" t="str">
        <x:v>Oils &amp; Fats</x:v>
      </x:c>
      <x:c r="E438" t="str">
        <x:v>Backordered</x:v>
      </x:c>
      <x:c r="F438" t="n">
        <x:v>64</x:v>
      </x:c>
      <x:c r="G438" t="n">
        <x:v>21</x:v>
      </x:c>
      <x:c r="H438" s="22" t="n">
        <x:v>256</x:v>
      </x:c>
      <x:c r="I438" t="n">
        <x:v>13</x:v>
      </x:c>
      <x:c r="J438" t="n">
        <x:v>0</x:v>
      </x:c>
    </x:row>
    <x:row r="439" ht="18" customHeight="1">
      <x:c r="A439" t="str">
        <x:v>27-783-5470</x:v>
      </x:c>
      <x:c r="B439" t="str">
        <x:v>Feta Cheese</x:v>
      </x:c>
      <x:c r="C439" t="str">
        <x:v>Thoughtstorm</x:v>
      </x:c>
      <x:c r="D439" t="str">
        <x:v>Dairy</x:v>
      </x:c>
      <x:c r="E439" t="str">
        <x:v>Discontinued</x:v>
      </x:c>
      <x:c r="F439" t="n">
        <x:v>74</x:v>
      </x:c>
      <x:c r="G439" t="n">
        <x:v>65</x:v>
      </x:c>
      <x:c r="H439" s="22" t="n">
        <x:v>518</x:v>
      </x:c>
      <x:c r="I439" t="n">
        <x:v>5</x:v>
      </x:c>
      <x:c r="J439" t="n">
        <x:v>0</x:v>
      </x:c>
    </x:row>
    <x:row r="440" ht="18" customHeight="1">
      <x:c r="A440" t="str">
        <x:v>55-697-5242</x:v>
      </x:c>
      <x:c r="B440" t="str">
        <x:v>Ricotta Cheese</x:v>
      </x:c>
      <x:c r="C440" t="str">
        <x:v>Shufflebeat</x:v>
      </x:c>
      <x:c r="D440" t="str">
        <x:v>Dairy</x:v>
      </x:c>
      <x:c r="E440" t="str">
        <x:v>Discontinued</x:v>
      </x:c>
      <x:c r="F440" t="n">
        <x:v>51</x:v>
      </x:c>
      <x:c r="G440" t="n">
        <x:v>53</x:v>
      </x:c>
      <x:c r="H440" s="22" t="n">
        <x:v>306</x:v>
      </x:c>
      <x:c r="I440" t="n">
        <x:v>88</x:v>
      </x:c>
      <x:c r="J440" t="n">
        <x:v>0</x:v>
      </x:c>
    </x:row>
    <x:row r="441" ht="18" customHeight="1">
      <x:c r="A441" t="str">
        <x:v>15-082-9124</x:v>
      </x:c>
      <x:c r="B441" t="str">
        <x:v>Apricot</x:v>
      </x:c>
      <x:c r="C441" t="str">
        <x:v>LiveZ</x:v>
      </x:c>
      <x:c r="D441" t="str">
        <x:v>Fruits &amp; Vegetables</x:v>
      </x:c>
      <x:c r="E441" t="str">
        <x:v>Discontinued</x:v>
      </x:c>
      <x:c r="F441" t="n">
        <x:v>89</x:v>
      </x:c>
      <x:c r="G441" t="n">
        <x:v>35</x:v>
      </x:c>
      <x:c r="H441" s="22" t="n">
        <x:v>445</x:v>
      </x:c>
      <x:c r="I441" t="n">
        <x:v>19</x:v>
      </x:c>
      <x:c r="J441" t="n">
        <x:v>0</x:v>
      </x:c>
    </x:row>
    <x:row r="442" ht="18" customHeight="1">
      <x:c r="A442" t="str">
        <x:v>06-996-3221</x:v>
      </x:c>
      <x:c r="B442" t="str">
        <x:v>Evaporated Milk</x:v>
      </x:c>
      <x:c r="C442" t="str">
        <x:v>Buzzshare</x:v>
      </x:c>
      <x:c r="D442" t="str">
        <x:v>Dairy</x:v>
      </x:c>
      <x:c r="E442" t="str">
        <x:v>Discontinued</x:v>
      </x:c>
      <x:c r="F442" t="n">
        <x:v>11</x:v>
      </x:c>
      <x:c r="G442" t="n">
        <x:v>9</x:v>
      </x:c>
      <x:c r="H442" s="22" t="n">
        <x:v>22</x:v>
      </x:c>
      <x:c r="I442" t="n">
        <x:v>65</x:v>
      </x:c>
      <x:c r="J442" t="n">
        <x:v>0</x:v>
      </x:c>
    </x:row>
    <x:row r="443" ht="18" customHeight="1">
      <x:c r="A443" t="str">
        <x:v>45-634-0679</x:v>
      </x:c>
      <x:c r="B443" t="str">
        <x:v>Haddock</x:v>
      </x:c>
      <x:c r="C443" t="str">
        <x:v>Rhybox</x:v>
      </x:c>
      <x:c r="D443" t="str">
        <x:v>Seafood</x:v>
      </x:c>
      <x:c r="E443" t="str">
        <x:v>Active</x:v>
      </x:c>
      <x:c r="F443" t="n">
        <x:v>98</x:v>
      </x:c>
      <x:c r="G443" t="n">
        <x:v>100</x:v>
      </x:c>
      <x:c r="H443" s="22" t="n">
        <x:v>882</x:v>
      </x:c>
      <x:c r="I443" t="n">
        <x:v>34</x:v>
      </x:c>
      <x:c r="J443" t="n">
        <x:v>34</x:v>
      </x:c>
    </x:row>
    <x:row r="444" ht="18" customHeight="1">
      <x:c r="A444" t="str">
        <x:v>15-796-3130</x:v>
      </x:c>
      <x:c r="B444" t="str">
        <x:v>Rye Bread</x:v>
      </x:c>
      <x:c r="C444" t="str">
        <x:v>Kwilith</x:v>
      </x:c>
      <x:c r="D444" t="str">
        <x:v>Bakery</x:v>
      </x:c>
      <x:c r="E444" t="str">
        <x:v>Active</x:v>
      </x:c>
      <x:c r="F444" t="n">
        <x:v>50</x:v>
      </x:c>
      <x:c r="G444" t="n">
        <x:v>58</x:v>
      </x:c>
      <x:c r="H444" s="22" t="n">
        <x:v>150</x:v>
      </x:c>
      <x:c r="I444" t="n">
        <x:v>78</x:v>
      </x:c>
      <x:c r="J444" t="n">
        <x:v>78</x:v>
      </x:c>
    </x:row>
    <x:row r="445" ht="18" customHeight="1">
      <x:c r="A445" t="str">
        <x:v>51-000-8113</x:v>
      </x:c>
      <x:c r="B445" t="str">
        <x:v>Green Tea</x:v>
      </x:c>
      <x:c r="C445" t="str">
        <x:v>Vidoo</x:v>
      </x:c>
      <x:c r="D445" t="str">
        <x:v>Beverages</x:v>
      </x:c>
      <x:c r="E445" t="str">
        <x:v>Active</x:v>
      </x:c>
      <x:c r="F445" t="n">
        <x:v>24</x:v>
      </x:c>
      <x:c r="G445" t="n">
        <x:v>27</x:v>
      </x:c>
      <x:c r="H445" s="22" t="n">
        <x:v>192</x:v>
      </x:c>
      <x:c r="I445" t="n">
        <x:v>35</x:v>
      </x:c>
      <x:c r="J445" t="n">
        <x:v>35</x:v>
      </x:c>
    </x:row>
    <x:row r="446" ht="18" customHeight="1">
      <x:c r="A446" t="str">
        <x:v>20-387-7746</x:v>
      </x:c>
      <x:c r="B446" t="str">
        <x:v>Powdered Sugar</x:v>
      </x:c>
      <x:c r="C446" t="str">
        <x:v>Aivee</x:v>
      </x:c>
      <x:c r="D446" t="str">
        <x:v>Grains &amp; Pulses</x:v>
      </x:c>
      <x:c r="E446" t="str">
        <x:v>Active</x:v>
      </x:c>
      <x:c r="F446" t="n">
        <x:v>64</x:v>
      </x:c>
      <x:c r="G446" t="n">
        <x:v>10</x:v>
      </x:c>
      <x:c r="H446" s="22" t="n">
        <x:v>160</x:v>
      </x:c>
      <x:c r="I446" t="n">
        <x:v>100</x:v>
      </x:c>
      <x:c r="J446" t="n">
        <x:v>0</x:v>
      </x:c>
    </x:row>
    <x:row r="447" ht="18" customHeight="1">
      <x:c r="A447" t="str">
        <x:v>82-931-7126</x:v>
      </x:c>
      <x:c r="B447" t="str">
        <x:v>Asparagus</x:v>
      </x:c>
      <x:c r="C447" t="str">
        <x:v>Vitz</x:v>
      </x:c>
      <x:c r="D447" t="str">
        <x:v>Fruits &amp; Vegetables</x:v>
      </x:c>
      <x:c r="E447" t="str">
        <x:v>Discontinued</x:v>
      </x:c>
      <x:c r="F447" t="n">
        <x:v>34</x:v>
      </x:c>
      <x:c r="G447" t="n">
        <x:v>95</x:v>
      </x:c>
      <x:c r="H447" s="22" t="n">
        <x:v>170</x:v>
      </x:c>
      <x:c r="I447" t="n">
        <x:v>18</x:v>
      </x:c>
      <x:c r="J447" t="n">
        <x:v>0</x:v>
      </x:c>
    </x:row>
    <x:row r="448" ht="18" customHeight="1">
      <x:c r="A448" t="str">
        <x:v>55-631-7937</x:v>
      </x:c>
      <x:c r="B448" t="str">
        <x:v>Greek Yogurt</x:v>
      </x:c>
      <x:c r="C448" t="str">
        <x:v>Avamba</x:v>
      </x:c>
      <x:c r="D448" t="str">
        <x:v>Dairy</x:v>
      </x:c>
      <x:c r="E448" t="str">
        <x:v>Active</x:v>
      </x:c>
      <x:c r="F448" t="n">
        <x:v>26</x:v>
      </x:c>
      <x:c r="G448" t="n">
        <x:v>54</x:v>
      </x:c>
      <x:c r="H448" s="22" t="n">
        <x:v>78</x:v>
      </x:c>
      <x:c r="I448" t="n">
        <x:v>90</x:v>
      </x:c>
      <x:c r="J448" t="n">
        <x:v>90</x:v>
      </x:c>
    </x:row>
    <x:row r="449" ht="18" customHeight="1">
      <x:c r="A449" t="str">
        <x:v>11-338-4598</x:v>
      </x:c>
      <x:c r="B449" t="str">
        <x:v>Potato</x:v>
      </x:c>
      <x:c r="C449" t="str">
        <x:v>Centimia</x:v>
      </x:c>
      <x:c r="D449" t="str">
        <x:v>Fruits &amp; Vegetables</x:v>
      </x:c>
      <x:c r="E449" t="str">
        <x:v>Backordered</x:v>
      </x:c>
      <x:c r="F449" t="n">
        <x:v>72</x:v>
      </x:c>
      <x:c r="G449" t="n">
        <x:v>58</x:v>
      </x:c>
      <x:c r="H449" s="22" t="n">
        <x:v>86.4</x:v>
      </x:c>
      <x:c r="I449" t="n">
        <x:v>69</x:v>
      </x:c>
      <x:c r="J449" t="n">
        <x:v>0</x:v>
      </x:c>
    </x:row>
    <x:row r="450" ht="18" customHeight="1">
      <x:c r="A450" t="str">
        <x:v>52-402-9245</x:v>
      </x:c>
      <x:c r="B450" t="str">
        <x:v>Broccoli</x:v>
      </x:c>
      <x:c r="C450" t="str">
        <x:v>Plajo</x:v>
      </x:c>
      <x:c r="D450" t="str">
        <x:v>Fruits &amp; Vegetables</x:v>
      </x:c>
      <x:c r="E450" t="str">
        <x:v>Active</x:v>
      </x:c>
      <x:c r="F450" t="n">
        <x:v>89</x:v>
      </x:c>
      <x:c r="G450" t="n">
        <x:v>40</x:v>
      </x:c>
      <x:c r="H450" s="22" t="n">
        <x:v>356</x:v>
      </x:c>
      <x:c r="I450" t="n">
        <x:v>64</x:v>
      </x:c>
      <x:c r="J450" t="n">
        <x:v>0</x:v>
      </x:c>
    </x:row>
    <x:row r="451" ht="18" customHeight="1">
      <x:c r="A451" t="str">
        <x:v>09-536-2626</x:v>
      </x:c>
      <x:c r="B451" t="str">
        <x:v>Olive Oil</x:v>
      </x:c>
      <x:c r="C451" t="str">
        <x:v>Fliptune</x:v>
      </x:c>
      <x:c r="D451" t="str">
        <x:v>Oils &amp; Fats</x:v>
      </x:c>
      <x:c r="E451" t="str">
        <x:v>Active</x:v>
      </x:c>
      <x:c r="F451" t="n">
        <x:v>83</x:v>
      </x:c>
      <x:c r="G451" t="n">
        <x:v>52</x:v>
      </x:c>
      <x:c r="H451" s="22" t="n">
        <x:v>498</x:v>
      </x:c>
      <x:c r="I451" t="n">
        <x:v>32</x:v>
      </x:c>
      <x:c r="J451" t="n">
        <x:v>0</x:v>
      </x:c>
    </x:row>
    <x:row r="452" ht="18" customHeight="1">
      <x:c r="A452" t="str">
        <x:v>48-427-0551</x:v>
      </x:c>
      <x:c r="B452" t="str">
        <x:v>Arabica Coffee</x:v>
      </x:c>
      <x:c r="C452" t="str">
        <x:v>Jetpulse</x:v>
      </x:c>
      <x:c r="D452" t="str">
        <x:v>Beverages</x:v>
      </x:c>
      <x:c r="E452" t="str">
        <x:v>Backordered</x:v>
      </x:c>
      <x:c r="F452" t="n">
        <x:v>13</x:v>
      </x:c>
      <x:c r="G452" t="n">
        <x:v>55</x:v>
      </x:c>
      <x:c r="H452" s="22" t="n">
        <x:v>260</x:v>
      </x:c>
      <x:c r="I452" t="n">
        <x:v>77</x:v>
      </x:c>
      <x:c r="J452" t="n">
        <x:v>77</x:v>
      </x:c>
    </x:row>
    <x:row r="453" ht="18" customHeight="1">
      <x:c r="A453" t="str">
        <x:v>06-706-6490</x:v>
      </x:c>
      <x:c r="B453" t="str">
        <x:v>Green Tea</x:v>
      </x:c>
      <x:c r="C453" t="str">
        <x:v>Tanoodle</x:v>
      </x:c>
      <x:c r="D453" t="str">
        <x:v>Beverages</x:v>
      </x:c>
      <x:c r="E453" t="str">
        <x:v>Backordered</x:v>
      </x:c>
      <x:c r="F453" t="n">
        <x:v>15</x:v>
      </x:c>
      <x:c r="G453" t="n">
        <x:v>66</x:v>
      </x:c>
      <x:c r="H453" s="22" t="n">
        <x:v>120</x:v>
      </x:c>
      <x:c r="I453" t="n">
        <x:v>85</x:v>
      </x:c>
      <x:c r="J453" t="n">
        <x:v>85</x:v>
      </x:c>
    </x:row>
    <x:row r="454" ht="18" customHeight="1">
      <x:c r="A454" t="str">
        <x:v>29-135-0791</x:v>
      </x:c>
      <x:c r="B454" t="str">
        <x:v>Jasmine Rice</x:v>
      </x:c>
      <x:c r="C454" t="str">
        <x:v>Babblestorm</x:v>
      </x:c>
      <x:c r="D454" t="str">
        <x:v>Grains &amp; Pulses</x:v>
      </x:c>
      <x:c r="E454" t="str">
        <x:v>Backordered</x:v>
      </x:c>
      <x:c r="F454" t="n">
        <x:v>56</x:v>
      </x:c>
      <x:c r="G454" t="n">
        <x:v>48</x:v>
      </x:c>
      <x:c r="H454" s="22" t="n">
        <x:v>266</x:v>
      </x:c>
      <x:c r="I454" t="n">
        <x:v>82</x:v>
      </x:c>
      <x:c r="J454" t="n">
        <x:v>0</x:v>
      </x:c>
    </x:row>
    <x:row r="455" ht="18" customHeight="1">
      <x:c r="A455" t="str">
        <x:v>89-624-7462</x:v>
      </x:c>
      <x:c r="B455" t="str">
        <x:v>Asparagus</x:v>
      </x:c>
      <x:c r="C455" t="str">
        <x:v>Jaxspan</x:v>
      </x:c>
      <x:c r="D455" t="str">
        <x:v>Fruits &amp; Vegetables</x:v>
      </x:c>
      <x:c r="E455" t="str">
        <x:v>Backordered</x:v>
      </x:c>
      <x:c r="F455" t="n">
        <x:v>18</x:v>
      </x:c>
      <x:c r="G455" t="n">
        <x:v>3</x:v>
      </x:c>
      <x:c r="H455" s="22" t="n">
        <x:v>90</x:v>
      </x:c>
      <x:c r="I455" t="n">
        <x:v>39</x:v>
      </x:c>
      <x:c r="J455" t="n">
        <x:v>0</x:v>
      </x:c>
    </x:row>
    <x:row r="456" ht="18" customHeight="1">
      <x:c r="A456" t="str">
        <x:v>82-231-4245</x:v>
      </x:c>
      <x:c r="B456" t="str">
        <x:v>Wild Rice</x:v>
      </x:c>
      <x:c r="C456" t="str">
        <x:v>Kayveo</x:v>
      </x:c>
      <x:c r="D456" t="str">
        <x:v>Grains &amp; Pulses</x:v>
      </x:c>
      <x:c r="E456" t="str">
        <x:v>Discontinued</x:v>
      </x:c>
      <x:c r="F456" t="n">
        <x:v>32</x:v>
      </x:c>
      <x:c r="G456" t="n">
        <x:v>91</x:v>
      </x:c>
      <x:c r="H456" s="22" t="n">
        <x:v>320</x:v>
      </x:c>
      <x:c r="I456" t="n">
        <x:v>80</x:v>
      </x:c>
      <x:c r="J456" t="n">
        <x:v>0</x:v>
      </x:c>
    </x:row>
    <x:row r="457" ht="18" customHeight="1">
      <x:c r="A457" t="str">
        <x:v>42-220-9305</x:v>
      </x:c>
      <x:c r="B457" t="str">
        <x:v>White Sugar</x:v>
      </x:c>
      <x:c r="C457" t="str">
        <x:v>Zooxo</x:v>
      </x:c>
      <x:c r="D457" t="str">
        <x:v>Grains &amp; Pulses</x:v>
      </x:c>
      <x:c r="E457" t="str">
        <x:v>Backordered</x:v>
      </x:c>
      <x:c r="F457" t="n">
        <x:v>91</x:v>
      </x:c>
      <x:c r="G457" t="n">
        <x:v>98</x:v>
      </x:c>
      <x:c r="H457" s="22" t="n">
        <x:v>182</x:v>
      </x:c>
      <x:c r="I457" t="n">
        <x:v>6</x:v>
      </x:c>
      <x:c r="J457" t="n">
        <x:v>7</x:v>
      </x:c>
    </x:row>
    <x:row r="458" ht="18" customHeight="1">
      <x:c r="A458" t="str">
        <x:v>02-920-4829</x:v>
      </x:c>
      <x:c r="B458" t="str">
        <x:v>White Bread</x:v>
      </x:c>
      <x:c r="C458" t="str">
        <x:v>Skyble</x:v>
      </x:c>
      <x:c r="D458" t="str">
        <x:v>Bakery</x:v>
      </x:c>
      <x:c r="E458" t="str">
        <x:v>Backordered</x:v>
      </x:c>
      <x:c r="F458" t="n">
        <x:v>92</x:v>
      </x:c>
      <x:c r="G458" t="n">
        <x:v>87</x:v>
      </x:c>
      <x:c r="H458" s="22" t="n">
        <x:v>230</x:v>
      </x:c>
      <x:c r="I458" t="n">
        <x:v>84</x:v>
      </x:c>
      <x:c r="J458" t="n">
        <x:v>0</x:v>
      </x:c>
    </x:row>
    <x:row r="459" ht="18" customHeight="1">
      <x:c r="A459" t="str">
        <x:v>61-801-8665</x:v>
      </x:c>
      <x:c r="B459" t="str">
        <x:v>Robusta Coffee</x:v>
      </x:c>
      <x:c r="C459" t="str">
        <x:v>Demivee</x:v>
      </x:c>
      <x:c r="D459" t="str">
        <x:v>Beverages</x:v>
      </x:c>
      <x:c r="E459" t="str">
        <x:v>Discontinued</x:v>
      </x:c>
      <x:c r="F459" t="n">
        <x:v>42</x:v>
      </x:c>
      <x:c r="G459" t="n">
        <x:v>88</x:v>
      </x:c>
      <x:c r="H459" s="22" t="n">
        <x:v>441</x:v>
      </x:c>
      <x:c r="I459" t="n">
        <x:v>17</x:v>
      </x:c>
      <x:c r="J459" t="n">
        <x:v>0</x:v>
      </x:c>
    </x:row>
    <x:row r="460" ht="18" customHeight="1">
      <x:c r="A460" t="str">
        <x:v>01-144-5960</x:v>
      </x:c>
      <x:c r="B460" t="str">
        <x:v>Trout</x:v>
      </x:c>
      <x:c r="C460" t="str">
        <x:v>Zazio</x:v>
      </x:c>
      <x:c r="D460" t="str">
        <x:v>Seafood</x:v>
      </x:c>
      <x:c r="E460" t="str">
        <x:v>Active</x:v>
      </x:c>
      <x:c r="F460" t="n">
        <x:v>75</x:v>
      </x:c>
      <x:c r="G460" t="n">
        <x:v>25</x:v>
      </x:c>
      <x:c r="H460" s="22" t="n">
        <x:v>900</x:v>
      </x:c>
      <x:c r="I460" t="n">
        <x:v>99</x:v>
      </x:c>
      <x:c r="J460" t="n">
        <x:v>0</x:v>
      </x:c>
    </x:row>
    <x:row r="461" ht="18" customHeight="1">
      <x:c r="A461" t="str">
        <x:v>98-575-4736</x:v>
      </x:c>
      <x:c r="B461" t="str">
        <x:v>Cucumber</x:v>
      </x:c>
      <x:c r="C461" t="str">
        <x:v>Flashset</x:v>
      </x:c>
      <x:c r="D461" t="str">
        <x:v>Fruits &amp; Vegetables</x:v>
      </x:c>
      <x:c r="E461" t="str">
        <x:v>Active</x:v>
      </x:c>
      <x:c r="F461" t="n">
        <x:v>76</x:v>
      </x:c>
      <x:c r="G461" t="n">
        <x:v>11</x:v>
      </x:c>
      <x:c r="H461" s="22" t="n">
        <x:v>136.8</x:v>
      </x:c>
      <x:c r="I461" t="n">
        <x:v>15</x:v>
      </x:c>
      <x:c r="J461" t="n">
        <x:v>0</x:v>
      </x:c>
    </x:row>
    <x:row r="462" ht="18" customHeight="1">
      <x:c r="A462" t="str">
        <x:v>30-996-2526</x:v>
      </x:c>
      <x:c r="B462" t="str">
        <x:v>Green Beans</x:v>
      </x:c>
      <x:c r="C462" t="str">
        <x:v>Izio</x:v>
      </x:c>
      <x:c r="D462" t="str">
        <x:v>Fruits &amp; Vegetables</x:v>
      </x:c>
      <x:c r="E462" t="str">
        <x:v>Active</x:v>
      </x:c>
      <x:c r="F462" t="n">
        <x:v>86</x:v>
      </x:c>
      <x:c r="G462" t="n">
        <x:v>90</x:v>
      </x:c>
      <x:c r="H462" s="22" t="n">
        <x:v>180.6</x:v>
      </x:c>
      <x:c r="I462" t="n">
        <x:v>39</x:v>
      </x:c>
      <x:c r="J462" t="n">
        <x:v>39</x:v>
      </x:c>
    </x:row>
    <x:row r="463" ht="18" customHeight="1">
      <x:c r="A463" t="str">
        <x:v>45-380-4627</x:v>
      </x:c>
      <x:c r="B463" t="str">
        <x:v>Cabbage</x:v>
      </x:c>
      <x:c r="C463" t="str">
        <x:v>Zoombox</x:v>
      </x:c>
      <x:c r="D463" t="str">
        <x:v>Fruits &amp; Vegetables</x:v>
      </x:c>
      <x:c r="E463" t="str">
        <x:v>Discontinued</x:v>
      </x:c>
      <x:c r="F463" t="n">
        <x:v>90</x:v>
      </x:c>
      <x:c r="G463" t="n">
        <x:v>1</x:v>
      </x:c>
      <x:c r="H463" s="22" t="n">
        <x:v>81</x:v>
      </x:c>
      <x:c r="I463" t="n">
        <x:v>40</x:v>
      </x:c>
      <x:c r="J463" t="n">
        <x:v>0</x:v>
      </x:c>
    </x:row>
    <x:row r="464" ht="18" customHeight="1">
      <x:c r="A464" t="str">
        <x:v>47-548-6500</x:v>
      </x:c>
      <x:c r="B464" t="str">
        <x:v>Onion</x:v>
      </x:c>
      <x:c r="C464" t="str">
        <x:v>Devpulse</x:v>
      </x:c>
      <x:c r="D464" t="str">
        <x:v>Fruits &amp; Vegetables</x:v>
      </x:c>
      <x:c r="E464" t="str">
        <x:v>Discontinued</x:v>
      </x:c>
      <x:c r="F464" t="n">
        <x:v>20</x:v>
      </x:c>
      <x:c r="G464" t="n">
        <x:v>93</x:v>
      </x:c>
      <x:c r="H464" s="22" t="n">
        <x:v>40</x:v>
      </x:c>
      <x:c r="I464" t="n">
        <x:v>37</x:v>
      </x:c>
      <x:c r="J464" t="n">
        <x:v>0</x:v>
      </x:c>
    </x:row>
    <x:row r="465" ht="18" customHeight="1">
      <x:c r="A465" t="str">
        <x:v>30-591-7275</x:v>
      </x:c>
      <x:c r="B465" t="str">
        <x:v>Brown Rice</x:v>
      </x:c>
      <x:c r="C465" t="str">
        <x:v>Oyondu</x:v>
      </x:c>
      <x:c r="D465" t="str">
        <x:v>Grains &amp; Pulses</x:v>
      </x:c>
      <x:c r="E465" t="str">
        <x:v>Backordered</x:v>
      </x:c>
      <x:c r="F465" t="n">
        <x:v>17</x:v>
      </x:c>
      <x:c r="G465" t="n">
        <x:v>88</x:v>
      </x:c>
      <x:c r="H465" s="22" t="n">
        <x:v>42.5</x:v>
      </x:c>
      <x:c r="I465" t="n">
        <x:v>41</x:v>
      </x:c>
      <x:c r="J465" t="n">
        <x:v>71</x:v>
      </x:c>
    </x:row>
    <x:row r="466" ht="18" customHeight="1">
      <x:c r="A466" t="str">
        <x:v>38-296-6634</x:v>
      </x:c>
      <x:c r="B466" t="str">
        <x:v>Peas</x:v>
      </x:c>
      <x:c r="C466" t="str">
        <x:v>Skipfire</x:v>
      </x:c>
      <x:c r="D466" t="str">
        <x:v>Fruits &amp; Vegetables</x:v>
      </x:c>
      <x:c r="E466" t="str">
        <x:v>Discontinued</x:v>
      </x:c>
      <x:c r="F466" t="n">
        <x:v>49</x:v>
      </x:c>
      <x:c r="G466" t="n">
        <x:v>46</x:v>
      </x:c>
      <x:c r="H466" s="22" t="n">
        <x:v>147</x:v>
      </x:c>
      <x:c r="I466" t="n">
        <x:v>8</x:v>
      </x:c>
      <x:c r="J466" t="n">
        <x:v>0</x:v>
      </x:c>
    </x:row>
    <x:row r="467" ht="18" customHeight="1">
      <x:c r="A467" t="str">
        <x:v>98-858-6323</x:v>
      </x:c>
      <x:c r="B467" t="str">
        <x:v>Swiss Cheese</x:v>
      </x:c>
      <x:c r="C467" t="str">
        <x:v>Janyx</x:v>
      </x:c>
      <x:c r="D467" t="str">
        <x:v>Dairy</x:v>
      </x:c>
      <x:c r="E467" t="str">
        <x:v>Active</x:v>
      </x:c>
      <x:c r="F467" t="n">
        <x:v>20</x:v>
      </x:c>
      <x:c r="G467" t="n">
        <x:v>17</x:v>
      </x:c>
      <x:c r="H467" s="22" t="n">
        <x:v>160</x:v>
      </x:c>
      <x:c r="I467" t="n">
        <x:v>71</x:v>
      </x:c>
      <x:c r="J467" t="n">
        <x:v>0</x:v>
      </x:c>
    </x:row>
    <x:row r="468" ht="18" customHeight="1">
      <x:c r="A468" t="str">
        <x:v>69-743-0161</x:v>
      </x:c>
      <x:c r="B468" t="str">
        <x:v>Bread Flour</x:v>
      </x:c>
      <x:c r="C468" t="str">
        <x:v>Twitterwire</x:v>
      </x:c>
      <x:c r="D468" t="str">
        <x:v>Grains &amp; Pulses</x:v>
      </x:c>
      <x:c r="E468" t="str">
        <x:v>Discontinued</x:v>
      </x:c>
      <x:c r="F468" t="n">
        <x:v>99</x:v>
      </x:c>
      <x:c r="G468" t="n">
        <x:v>54</x:v>
      </x:c>
      <x:c r="H468" s="22" t="n">
        <x:v>148.5</x:v>
      </x:c>
      <x:c r="I468" t="n">
        <x:v>71</x:v>
      </x:c>
      <x:c r="J468" t="n">
        <x:v>0</x:v>
      </x:c>
    </x:row>
    <x:row r="469" ht="18" customHeight="1">
      <x:c r="A469" t="str">
        <x:v>71-067-3278</x:v>
      </x:c>
      <x:c r="B469" t="str">
        <x:v>Anchovies</x:v>
      </x:c>
      <x:c r="C469" t="str">
        <x:v>Twitterbridge</x:v>
      </x:c>
      <x:c r="D469" t="str">
        <x:v>Seafood</x:v>
      </x:c>
      <x:c r="E469" t="str">
        <x:v>Backordered</x:v>
      </x:c>
      <x:c r="F469" t="n">
        <x:v>51</x:v>
      </x:c>
      <x:c r="G469" t="n">
        <x:v>35</x:v>
      </x:c>
      <x:c r="H469" s="22" t="n">
        <x:v>510</x:v>
      </x:c>
      <x:c r="I469" t="n">
        <x:v>95</x:v>
      </x:c>
      <x:c r="J469" t="n">
        <x:v>0</x:v>
      </x:c>
    </x:row>
    <x:row r="470" ht="18" customHeight="1">
      <x:c r="A470" t="str">
        <x:v>24-143-4957</x:v>
      </x:c>
      <x:c r="B470" t="str">
        <x:v>Canola Oil</x:v>
      </x:c>
      <x:c r="C470" t="str">
        <x:v>Katz</x:v>
      </x:c>
      <x:c r="D470" t="str">
        <x:v>Oils &amp; Fats</x:v>
      </x:c>
      <x:c r="E470" t="str">
        <x:v>Discontinued</x:v>
      </x:c>
      <x:c r="F470" t="n">
        <x:v>25</x:v>
      </x:c>
      <x:c r="G470" t="n">
        <x:v>97</x:v>
      </x:c>
      <x:c r="H470" s="22" t="n">
        <x:v>57.5</x:v>
      </x:c>
      <x:c r="I470" t="n">
        <x:v>63</x:v>
      </x:c>
      <x:c r="J470" t="n">
        <x:v>0</x:v>
      </x:c>
    </x:row>
    <x:row r="471" ht="18" customHeight="1">
      <x:c r="A471" t="str">
        <x:v>31-387-5020</x:v>
      </x:c>
      <x:c r="B471" t="str">
        <x:v>Parmesan Cheese</x:v>
      </x:c>
      <x:c r="C471" t="str">
        <x:v>Buzzbean</x:v>
      </x:c>
      <x:c r="D471" t="str">
        <x:v>Dairy</x:v>
      </x:c>
      <x:c r="E471" t="str">
        <x:v>Active</x:v>
      </x:c>
      <x:c r="F471" t="n">
        <x:v>63</x:v>
      </x:c>
      <x:c r="G471" t="n">
        <x:v>41</x:v>
      </x:c>
      <x:c r="H471" s="22" t="n">
        <x:v>749.7</x:v>
      </x:c>
      <x:c r="I471" t="n">
        <x:v>98</x:v>
      </x:c>
      <x:c r="J471" t="n">
        <x:v>0</x:v>
      </x:c>
    </x:row>
    <x:row r="472" ht="18" customHeight="1">
      <x:c r="A472" t="str">
        <x:v>33-378-1365</x:v>
      </x:c>
      <x:c r="B472" t="str">
        <x:v>Egg (Goose)</x:v>
      </x:c>
      <x:c r="C472" t="str">
        <x:v>Tagchat</x:v>
      </x:c>
      <x:c r="D472" t="str">
        <x:v>Dairy</x:v>
      </x:c>
      <x:c r="E472" t="str">
        <x:v>Active</x:v>
      </x:c>
      <x:c r="F472" t="n">
        <x:v>50</x:v>
      </x:c>
      <x:c r="G472" t="n">
        <x:v>66</x:v>
      </x:c>
      <x:c r="H472" s="22" t="n">
        <x:v>125</x:v>
      </x:c>
      <x:c r="I472" t="n">
        <x:v>1</x:v>
      </x:c>
      <x:c r="J472" t="n">
        <x:v>16</x:v>
      </x:c>
    </x:row>
    <x:row r="473" ht="18" customHeight="1">
      <x:c r="A473" t="str">
        <x:v>41-729-5410</x:v>
      </x:c>
      <x:c r="B473" t="str">
        <x:v>Sardines</x:v>
      </x:c>
      <x:c r="C473" t="str">
        <x:v>Ntag</x:v>
      </x:c>
      <x:c r="D473" t="str">
        <x:v>Seafood</x:v>
      </x:c>
      <x:c r="E473" t="str">
        <x:v>Active</x:v>
      </x:c>
      <x:c r="F473" t="n">
        <x:v>91</x:v>
      </x:c>
      <x:c r="G473" t="n">
        <x:v>59</x:v>
      </x:c>
      <x:c r="H473" s="22" t="n">
        <x:v>546</x:v>
      </x:c>
      <x:c r="I473" t="n">
        <x:v>49</x:v>
      </x:c>
      <x:c r="J473" t="n">
        <x:v>0</x:v>
      </x:c>
    </x:row>
    <x:row r="474" ht="18" customHeight="1">
      <x:c r="A474" t="str">
        <x:v>33-335-9140</x:v>
      </x:c>
      <x:c r="B474" t="str">
        <x:v>Olive Oil</x:v>
      </x:c>
      <x:c r="C474" t="str">
        <x:v>Blogspan</x:v>
      </x:c>
      <x:c r="D474" t="str">
        <x:v>Oils &amp; Fats</x:v>
      </x:c>
      <x:c r="E474" t="str">
        <x:v>Active</x:v>
      </x:c>
      <x:c r="F474" t="n">
        <x:v>28</x:v>
      </x:c>
      <x:c r="G474" t="n">
        <x:v>17</x:v>
      </x:c>
      <x:c r="H474" s="22" t="n">
        <x:v>168</x:v>
      </x:c>
      <x:c r="I474" t="n">
        <x:v>28</x:v>
      </x:c>
      <x:c r="J474" t="n">
        <x:v>0</x:v>
      </x:c>
    </x:row>
    <x:row r="475" ht="18" customHeight="1">
      <x:c r="A475" t="str">
        <x:v>40-021-2400</x:v>
      </x:c>
      <x:c r="B475" t="str">
        <x:v>Zucchini</x:v>
      </x:c>
      <x:c r="C475" t="str">
        <x:v>Katz</x:v>
      </x:c>
      <x:c r="D475" t="str">
        <x:v>Fruits &amp; Vegetables</x:v>
      </x:c>
      <x:c r="E475" t="str">
        <x:v>Active</x:v>
      </x:c>
      <x:c r="F475" t="n">
        <x:v>29</x:v>
      </x:c>
      <x:c r="G475" t="n">
        <x:v>18</x:v>
      </x:c>
      <x:c r="H475" s="22" t="n">
        <x:v>72.5</x:v>
      </x:c>
      <x:c r="I475" t="n">
        <x:v>86</x:v>
      </x:c>
      <x:c r="J475" t="n">
        <x:v>0</x:v>
      </x:c>
    </x:row>
    <x:row r="476" ht="18" customHeight="1">
      <x:c r="A476" t="str">
        <x:v>81-268-5905</x:v>
      </x:c>
      <x:c r="B476" t="str">
        <x:v>Mackerel</x:v>
      </x:c>
      <x:c r="C476" t="str">
        <x:v>Kazio</x:v>
      </x:c>
      <x:c r="D476" t="str">
        <x:v>Seafood</x:v>
      </x:c>
      <x:c r="E476" t="str">
        <x:v>Active</x:v>
      </x:c>
      <x:c r="F476" t="n">
        <x:v>89</x:v>
      </x:c>
      <x:c r="G476" t="n">
        <x:v>26</x:v>
      </x:c>
      <x:c r="H476" s="22" t="n">
        <x:v>667.5</x:v>
      </x:c>
      <x:c r="I476" t="n">
        <x:v>36</x:v>
      </x:c>
      <x:c r="J476" t="n">
        <x:v>0</x:v>
      </x:c>
    </x:row>
    <x:row r="477" ht="18" customHeight="1">
      <x:c r="A477" t="str">
        <x:v>38-617-7226</x:v>
      </x:c>
      <x:c r="B477" t="str">
        <x:v>Mushrooms</x:v>
      </x:c>
      <x:c r="C477" t="str">
        <x:v>Bluezoom</x:v>
      </x:c>
      <x:c r="D477" t="str">
        <x:v>Fruits &amp; Vegetables</x:v>
      </x:c>
      <x:c r="E477" t="str">
        <x:v>Active</x:v>
      </x:c>
      <x:c r="F477" t="n">
        <x:v>65</x:v>
      </x:c>
      <x:c r="G477" t="n">
        <x:v>42</x:v>
      </x:c>
      <x:c r="H477" s="22" t="n">
        <x:v>409.5</x:v>
      </x:c>
      <x:c r="I477" t="n">
        <x:v>62</x:v>
      </x:c>
      <x:c r="J477" t="n">
        <x:v>0</x:v>
      </x:c>
    </x:row>
    <x:row r="478" ht="18" customHeight="1">
      <x:c r="A478" t="str">
        <x:v>54-822-9009</x:v>
      </x:c>
      <x:c r="B478" t="str">
        <x:v>Cauliflower</x:v>
      </x:c>
      <x:c r="C478" t="str">
        <x:v>Shufflester</x:v>
      </x:c>
      <x:c r="D478" t="str">
        <x:v>Grains &amp; Pulses</x:v>
      </x:c>
      <x:c r="E478" t="str">
        <x:v>Backordered</x:v>
      </x:c>
      <x:c r="F478" t="n">
        <x:v>40</x:v>
      </x:c>
      <x:c r="G478" t="n">
        <x:v>38</x:v>
      </x:c>
      <x:c r="H478" s="22" t="n">
        <x:v>128</x:v>
      </x:c>
      <x:c r="I478" t="n">
        <x:v>32</x:v>
      </x:c>
      <x:c r="J478" t="n">
        <x:v>0</x:v>
      </x:c>
    </x:row>
    <x:row r="479" ht="18" customHeight="1">
      <x:c r="A479" t="str">
        <x:v>02-655-3240</x:v>
      </x:c>
      <x:c r="B479" t="str">
        <x:v>Rice Flour</x:v>
      </x:c>
      <x:c r="C479" t="str">
        <x:v>Jabberstorm</x:v>
      </x:c>
      <x:c r="D479" t="str">
        <x:v>Grains &amp; Pulses</x:v>
      </x:c>
      <x:c r="E479" t="str">
        <x:v>Discontinued</x:v>
      </x:c>
      <x:c r="F479" t="n">
        <x:v>99</x:v>
      </x:c>
      <x:c r="G479" t="n">
        <x:v>44</x:v>
      </x:c>
      <x:c r="H479" s="22" t="n">
        <x:v>198</x:v>
      </x:c>
      <x:c r="I479" t="n">
        <x:v>52</x:v>
      </x:c>
      <x:c r="J479" t="n">
        <x:v>0</x:v>
      </x:c>
    </x:row>
    <x:row r="480" ht="18" customHeight="1">
      <x:c r="A480" t="str">
        <x:v>01-839-6534</x:v>
      </x:c>
      <x:c r="B480" t="str">
        <x:v>Short Grain Rice</x:v>
      </x:c>
      <x:c r="C480" t="str">
        <x:v>Tanoodle</x:v>
      </x:c>
      <x:c r="D480" t="str">
        <x:v>Grains &amp; Pulses</x:v>
      </x:c>
      <x:c r="E480" t="str">
        <x:v>Active</x:v>
      </x:c>
      <x:c r="F480" t="n">
        <x:v>56</x:v>
      </x:c>
      <x:c r="G480" t="n">
        <x:v>28</x:v>
      </x:c>
      <x:c r="H480" s="22" t="n">
        <x:v>168</x:v>
      </x:c>
      <x:c r="I480" t="n">
        <x:v>76</x:v>
      </x:c>
      <x:c r="J480" t="n">
        <x:v>0</x:v>
      </x:c>
    </x:row>
    <x:row r="481" ht="18" customHeight="1">
      <x:c r="A481" t="str">
        <x:v>98-499-2220</x:v>
      </x:c>
      <x:c r="B481" t="str">
        <x:v>Parmesan Cheese</x:v>
      </x:c>
      <x:c r="C481" t="str">
        <x:v>Skidoo</x:v>
      </x:c>
      <x:c r="D481" t="str">
        <x:v>Dairy</x:v>
      </x:c>
      <x:c r="E481" t="str">
        <x:v>Discontinued</x:v>
      </x:c>
      <x:c r="F481" t="n">
        <x:v>37</x:v>
      </x:c>
      <x:c r="G481" t="n">
        <x:v>3</x:v>
      </x:c>
      <x:c r="H481" s="22" t="n">
        <x:v>444</x:v>
      </x:c>
      <x:c r="I481" t="n">
        <x:v>45</x:v>
      </x:c>
      <x:c r="J481" t="n">
        <x:v>0</x:v>
      </x:c>
    </x:row>
    <x:row r="482" ht="18" customHeight="1">
      <x:c r="A482" t="str">
        <x:v>69-171-1305</x:v>
      </x:c>
      <x:c r="B482" t="str">
        <x:v>Brown Rice</x:v>
      </x:c>
      <x:c r="C482" t="str">
        <x:v>Livetube</x:v>
      </x:c>
      <x:c r="D482" t="str">
        <x:v>Grains &amp; Pulses</x:v>
      </x:c>
      <x:c r="E482" t="str">
        <x:v>Active</x:v>
      </x:c>
      <x:c r="F482" t="n">
        <x:v>31</x:v>
      </x:c>
      <x:c r="G482" t="n">
        <x:v>29</x:v>
      </x:c>
      <x:c r="H482" s="22" t="n">
        <x:v>77.5</x:v>
      </x:c>
      <x:c r="I482" t="n">
        <x:v>57</x:v>
      </x:c>
      <x:c r="J482" t="n">
        <x:v>0</x:v>
      </x:c>
    </x:row>
    <x:row r="483" ht="18" customHeight="1">
      <x:c r="A483" t="str">
        <x:v>57-394-4703</x:v>
      </x:c>
      <x:c r="B483" t="str">
        <x:v>White Tea</x:v>
      </x:c>
      <x:c r="C483" t="str">
        <x:v>Agivu</x:v>
      </x:c>
      <x:c r="D483" t="str">
        <x:v>Beverages</x:v>
      </x:c>
      <x:c r="E483" t="str">
        <x:v>Backordered</x:v>
      </x:c>
      <x:c r="F483" t="n">
        <x:v>81</x:v>
      </x:c>
      <x:c r="G483" t="n">
        <x:v>83</x:v>
      </x:c>
      <x:c r="H483" s="22" t="n">
        <x:v>2025</x:v>
      </x:c>
      <x:c r="I483" t="n">
        <x:v>36</x:v>
      </x:c>
      <x:c r="J483" t="n">
        <x:v>36</x:v>
      </x:c>
    </x:row>
    <x:row r="484" ht="18" customHeight="1">
      <x:c r="A484" t="str">
        <x:v>58-946-5152</x:v>
      </x:c>
      <x:c r="B484" t="str">
        <x:v>Bread Flour</x:v>
      </x:c>
      <x:c r="C484" t="str">
        <x:v>Avaveo</x:v>
      </x:c>
      <x:c r="D484" t="str">
        <x:v>Grains &amp; Pulses</x:v>
      </x:c>
      <x:c r="E484" t="str">
        <x:v>Backordered</x:v>
      </x:c>
      <x:c r="F484" t="n">
        <x:v>11</x:v>
      </x:c>
      <x:c r="G484" t="n">
        <x:v>77</x:v>
      </x:c>
      <x:c r="H484" s="22" t="n">
        <x:v>16.5</x:v>
      </x:c>
      <x:c r="I484" t="n">
        <x:v>7</x:v>
      </x:c>
      <x:c r="J484" t="n">
        <x:v>66</x:v>
      </x:c>
    </x:row>
    <x:row r="485" ht="18" customHeight="1">
      <x:c r="A485" t="str">
        <x:v>74-587-2065</x:v>
      </x:c>
      <x:c r="B485" t="str">
        <x:v>Pear</x:v>
      </x:c>
      <x:c r="C485" t="str">
        <x:v>Gigaclub</x:v>
      </x:c>
      <x:c r="D485" t="str">
        <x:v>Fruits &amp; Vegetables</x:v>
      </x:c>
      <x:c r="E485" t="str">
        <x:v>Active</x:v>
      </x:c>
      <x:c r="F485" t="n">
        <x:v>29</x:v>
      </x:c>
      <x:c r="G485" t="n">
        <x:v>20</x:v>
      </x:c>
      <x:c r="H485" s="22" t="n">
        <x:v>130.5</x:v>
      </x:c>
      <x:c r="I485" t="n">
        <x:v>85</x:v>
      </x:c>
      <x:c r="J485" t="n">
        <x:v>0</x:v>
      </x:c>
    </x:row>
    <x:row r="486" ht="18" customHeight="1">
      <x:c r="A486" t="str">
        <x:v>69-287-9113</x:v>
      </x:c>
      <x:c r="B486" t="str">
        <x:v>Zucchini</x:v>
      </x:c>
      <x:c r="C486" t="str">
        <x:v>Jaxspan</x:v>
      </x:c>
      <x:c r="D486" t="str">
        <x:v>Fruits &amp; Vegetables</x:v>
      </x:c>
      <x:c r="E486" t="str">
        <x:v>Active</x:v>
      </x:c>
      <x:c r="F486" t="n">
        <x:v>59</x:v>
      </x:c>
      <x:c r="G486" t="n">
        <x:v>91</x:v>
      </x:c>
      <x:c r="H486" s="22" t="n">
        <x:v>147.5</x:v>
      </x:c>
      <x:c r="I486" t="n">
        <x:v>24</x:v>
      </x:c>
      <x:c r="J486" t="n">
        <x:v>32</x:v>
      </x:c>
    </x:row>
    <x:row r="487" ht="18" customHeight="1">
      <x:c r="A487" t="str">
        <x:v>03-441-4252</x:v>
      </x:c>
      <x:c r="B487" t="str">
        <x:v>Yogurt</x:v>
      </x:c>
      <x:c r="C487" t="str">
        <x:v>Wordpedia</x:v>
      </x:c>
      <x:c r="D487" t="str">
        <x:v>Dairy</x:v>
      </x:c>
      <x:c r="E487" t="str">
        <x:v>Backordered</x:v>
      </x:c>
      <x:c r="F487" t="n">
        <x:v>12</x:v>
      </x:c>
      <x:c r="G487" t="n">
        <x:v>83</x:v>
      </x:c>
      <x:c r="H487" s="22" t="n">
        <x:v>21</x:v>
      </x:c>
      <x:c r="I487" t="n">
        <x:v>93</x:v>
      </x:c>
      <x:c r="J487" t="n">
        <x:v>93</x:v>
      </x:c>
    </x:row>
    <x:row r="488" ht="18" customHeight="1">
      <x:c r="A488" t="str">
        <x:v>29-344-3658</x:v>
      </x:c>
      <x:c r="B488" t="str">
        <x:v>Lime</x:v>
      </x:c>
      <x:c r="C488" t="str">
        <x:v>Yata</x:v>
      </x:c>
      <x:c r="D488" t="str">
        <x:v>Fruits &amp; Vegetables</x:v>
      </x:c>
      <x:c r="E488" t="str">
        <x:v>Discontinued</x:v>
      </x:c>
      <x:c r="F488" t="n">
        <x:v>75</x:v>
      </x:c>
      <x:c r="G488" t="n">
        <x:v>56</x:v>
      </x:c>
      <x:c r="H488" s="22" t="n">
        <x:v>142.5</x:v>
      </x:c>
      <x:c r="I488" t="n">
        <x:v>57</x:v>
      </x:c>
      <x:c r="J488" t="n">
        <x:v>0</x:v>
      </x:c>
    </x:row>
    <x:row r="489" ht="18" customHeight="1">
      <x:c r="A489" t="str">
        <x:v>12-342-4482</x:v>
      </x:c>
      <x:c r="B489" t="str">
        <x:v>Trout</x:v>
      </x:c>
      <x:c r="C489" t="str">
        <x:v>Topicblab</x:v>
      </x:c>
      <x:c r="D489" t="str">
        <x:v>Seafood</x:v>
      </x:c>
      <x:c r="E489" t="str">
        <x:v>Active</x:v>
      </x:c>
      <x:c r="F489" t="n">
        <x:v>67</x:v>
      </x:c>
      <x:c r="G489" t="n">
        <x:v>83</x:v>
      </x:c>
      <x:c r="H489" s="22" t="n">
        <x:v>777.2</x:v>
      </x:c>
      <x:c r="I489" t="n">
        <x:v>90</x:v>
      </x:c>
      <x:c r="J489" t="n">
        <x:v>90</x:v>
      </x:c>
    </x:row>
    <x:row r="490" ht="18" customHeight="1">
      <x:c r="A490" t="str">
        <x:v>99-894-4351</x:v>
      </x:c>
      <x:c r="B490" t="str">
        <x:v>White Sugar</x:v>
      </x:c>
      <x:c r="C490" t="str">
        <x:v>Devpoint</x:v>
      </x:c>
      <x:c r="D490" t="str">
        <x:v>Grains &amp; Pulses</x:v>
      </x:c>
      <x:c r="E490" t="str">
        <x:v>Backordered</x:v>
      </x:c>
      <x:c r="F490" t="n">
        <x:v>29</x:v>
      </x:c>
      <x:c r="G490" t="n">
        <x:v>54</x:v>
      </x:c>
      <x:c r="H490" s="22" t="n">
        <x:v>58</x:v>
      </x:c>
      <x:c r="I490" t="n">
        <x:v>54</x:v>
      </x:c>
      <x:c r="J490" t="n">
        <x:v>54</x:v>
      </x:c>
    </x:row>
    <x:row r="491" ht="18" customHeight="1">
      <x:c r="A491" t="str">
        <x:v>34-709-9237</x:v>
      </x:c>
      <x:c r="B491" t="str">
        <x:v>Carrot</x:v>
      </x:c>
      <x:c r="C491" t="str">
        <x:v>Gigaclub</x:v>
      </x:c>
      <x:c r="D491" t="str">
        <x:v>Fruits &amp; Vegetables</x:v>
      </x:c>
      <x:c r="E491" t="str">
        <x:v>Discontinued</x:v>
      </x:c>
      <x:c r="F491" t="n">
        <x:v>61</x:v>
      </x:c>
      <x:c r="G491" t="n">
        <x:v>81</x:v>
      </x:c>
      <x:c r="H491" s="22" t="n">
        <x:v>91.5</x:v>
      </x:c>
      <x:c r="I491" t="n">
        <x:v>99</x:v>
      </x:c>
      <x:c r="J491" t="n">
        <x:v>0</x:v>
      </x:c>
    </x:row>
    <x:row r="492" ht="18" customHeight="1">
      <x:c r="A492" t="str">
        <x:v>05-498-7751</x:v>
      </x:c>
      <x:c r="B492" t="str">
        <x:v>Cauliflower</x:v>
      </x:c>
      <x:c r="C492" t="str">
        <x:v>Abata</x:v>
      </x:c>
      <x:c r="D492" t="str">
        <x:v>Fruits &amp; Vegetables</x:v>
      </x:c>
      <x:c r="E492" t="str">
        <x:v>Active</x:v>
      </x:c>
      <x:c r="F492" t="n">
        <x:v>52</x:v>
      </x:c>
      <x:c r="G492" t="n">
        <x:v>22</x:v>
      </x:c>
      <x:c r="H492" s="22" t="n">
        <x:v>130</x:v>
      </x:c>
      <x:c r="I492" t="n">
        <x:v>37</x:v>
      </x:c>
      <x:c r="J492" t="n">
        <x:v>0</x:v>
      </x:c>
    </x:row>
    <x:row r="493" ht="18" customHeight="1">
      <x:c r="A493" t="str">
        <x:v>32-270-1385</x:v>
      </x:c>
      <x:c r="B493" t="str">
        <x:v>Greek Yogurt</x:v>
      </x:c>
      <x:c r="C493" t="str">
        <x:v>Quaxo</x:v>
      </x:c>
      <x:c r="D493" t="str">
        <x:v>Fruits &amp; Vegetables</x:v>
      </x:c>
      <x:c r="E493" t="str">
        <x:v>Backordered</x:v>
      </x:c>
      <x:c r="F493" t="n">
        <x:v>28</x:v>
      </x:c>
      <x:c r="G493" t="n">
        <x:v>38</x:v>
      </x:c>
      <x:c r="H493" s="22" t="n">
        <x:v>1192.24</x:v>
      </x:c>
      <x:c r="I493" t="n">
        <x:v>23</x:v>
      </x:c>
      <x:c r="J493" t="n">
        <x:v>23</x:v>
      </x:c>
    </x:row>
    <x:row r="494" ht="18" customHeight="1">
      <x:c r="A494" t="str">
        <x:v>67-710-5120</x:v>
      </x:c>
      <x:c r="B494" t="str">
        <x:v>Bread Flour</x:v>
      </x:c>
      <x:c r="C494" t="str">
        <x:v>Skynoodle</x:v>
      </x:c>
      <x:c r="D494" t="str">
        <x:v>Grains &amp; Pulses</x:v>
      </x:c>
      <x:c r="E494" t="str">
        <x:v>Active</x:v>
      </x:c>
      <x:c r="F494" t="n">
        <x:v>84</x:v>
      </x:c>
      <x:c r="G494" t="n">
        <x:v>92</x:v>
      </x:c>
      <x:c r="H494" s="22" t="n">
        <x:v>126</x:v>
      </x:c>
      <x:c r="I494" t="n">
        <x:v>18</x:v>
      </x:c>
      <x:c r="J494" t="n">
        <x:v>18</x:v>
      </x:c>
    </x:row>
    <x:row r="495" ht="18" customHeight="1">
      <x:c r="A495" t="str">
        <x:v>37-709-3532</x:v>
      </x:c>
      <x:c r="B495" t="str">
        <x:v>Mushrooms</x:v>
      </x:c>
      <x:c r="C495" t="str">
        <x:v>Demivee</x:v>
      </x:c>
      <x:c r="D495" t="str">
        <x:v>Fruits &amp; Vegetables</x:v>
      </x:c>
      <x:c r="E495" t="str">
        <x:v>Backordered</x:v>
      </x:c>
      <x:c r="F495" t="n">
        <x:v>79</x:v>
      </x:c>
      <x:c r="G495" t="n">
        <x:v>45</x:v>
      </x:c>
      <x:c r="H495" s="22" t="n">
        <x:v>474</x:v>
      </x:c>
      <x:c r="I495" t="n">
        <x:v>39</x:v>
      </x:c>
      <x:c r="J495" t="n">
        <x:v>0</x:v>
      </x:c>
    </x:row>
    <x:row r="496" ht="18" customHeight="1">
      <x:c r="A496" t="str">
        <x:v>60-311-5701</x:v>
      </x:c>
      <x:c r="B496" t="str">
        <x:v>Sesame Oil</x:v>
      </x:c>
      <x:c r="C496" t="str">
        <x:v>Shuffledrive</x:v>
      </x:c>
      <x:c r="D496" t="str">
        <x:v>Oils &amp; Fats</x:v>
      </x:c>
      <x:c r="E496" t="str">
        <x:v>Backordered</x:v>
      </x:c>
      <x:c r="F496" t="n">
        <x:v>39</x:v>
      </x:c>
      <x:c r="G496" t="n">
        <x:v>78</x:v>
      </x:c>
      <x:c r="H496" s="22" t="n">
        <x:v>253.5</x:v>
      </x:c>
      <x:c r="I496" t="n">
        <x:v>97</x:v>
      </x:c>
      <x:c r="J496" t="n">
        <x:v>97</x:v>
      </x:c>
    </x:row>
    <x:row r="497" ht="18" customHeight="1">
      <x:c r="A497" t="str">
        <x:v>97-093-4278</x:v>
      </x:c>
      <x:c r="B497" t="str">
        <x:v>Buttermilk</x:v>
      </x:c>
      <x:c r="C497" t="str">
        <x:v>Twitterlist</x:v>
      </x:c>
      <x:c r="D497" t="str">
        <x:v>Dairy</x:v>
      </x:c>
      <x:c r="E497" t="str">
        <x:v>Discontinued</x:v>
      </x:c>
      <x:c r="F497" t="n">
        <x:v>69</x:v>
      </x:c>
      <x:c r="G497" t="n">
        <x:v>98</x:v>
      </x:c>
      <x:c r="H497" s="22" t="n">
        <x:v>175.95</x:v>
      </x:c>
      <x:c r="I497" t="n">
        <x:v>89</x:v>
      </x:c>
      <x:c r="J497" t="n">
        <x:v>0</x:v>
      </x:c>
    </x:row>
    <x:row r="498" ht="18" customHeight="1">
      <x:c r="A498" t="str">
        <x:v>41-131-3841</x:v>
      </x:c>
      <x:c r="B498" t="str">
        <x:v>Almond Flour</x:v>
      </x:c>
      <x:c r="C498" t="str">
        <x:v>Camido</x:v>
      </x:c>
      <x:c r="D498" t="str">
        <x:v>Grains &amp; Pulses</x:v>
      </x:c>
      <x:c r="E498" t="str">
        <x:v>Backordered</x:v>
      </x:c>
      <x:c r="F498" t="n">
        <x:v>77</x:v>
      </x:c>
      <x:c r="G498" t="n">
        <x:v>19</x:v>
      </x:c>
      <x:c r="H498" s="22" t="n">
        <x:v>731.5</x:v>
      </x:c>
      <x:c r="I498" t="n">
        <x:v>31</x:v>
      </x:c>
      <x:c r="J498" t="n">
        <x:v>0</x:v>
      </x:c>
    </x:row>
    <x:row r="499" ht="18" customHeight="1">
      <x:c r="A499" t="str">
        <x:v>40-630-1431</x:v>
      </x:c>
      <x:c r="B499" t="str">
        <x:v>Cherry</x:v>
      </x:c>
      <x:c r="C499" t="str">
        <x:v>Voomm</x:v>
      </x:c>
      <x:c r="D499" t="str">
        <x:v>Fruits &amp; Vegetables</x:v>
      </x:c>
      <x:c r="E499" t="str">
        <x:v>Discontinued</x:v>
      </x:c>
      <x:c r="F499" t="n">
        <x:v>29</x:v>
      </x:c>
      <x:c r="G499" t="n">
        <x:v>66</x:v>
      </x:c>
      <x:c r="H499" s="22" t="n">
        <x:v>232</x:v>
      </x:c>
      <x:c r="I499" t="n">
        <x:v>21</x:v>
      </x:c>
      <x:c r="J499" t="n">
        <x:v>0</x:v>
      </x:c>
    </x:row>
    <x:row r="500" ht="18" customHeight="1">
      <x:c r="A500" t="str">
        <x:v>64-493-5270</x:v>
      </x:c>
      <x:c r="B500" t="str">
        <x:v>Palm Oil</x:v>
      </x:c>
      <x:c r="C500" t="str">
        <x:v>Dynabox</x:v>
      </x:c>
      <x:c r="D500" t="str">
        <x:v>Oils &amp; Fats</x:v>
      </x:c>
      <x:c r="E500" t="str">
        <x:v>Active</x:v>
      </x:c>
      <x:c r="F500" t="n">
        <x:v>69</x:v>
      </x:c>
      <x:c r="G500" t="n">
        <x:v>59</x:v>
      </x:c>
      <x:c r="H500" s="22" t="n">
        <x:v>124.2</x:v>
      </x:c>
      <x:c r="I500" t="n">
        <x:v>29</x:v>
      </x:c>
      <x:c r="J500" t="n">
        <x:v>0</x:v>
      </x:c>
    </x:row>
    <x:row r="501" ht="18" customHeight="1">
      <x:c r="A501" t="str">
        <x:v>07-219-8017</x:v>
      </x:c>
      <x:c r="B501" t="str">
        <x:v>Palm Oil</x:v>
      </x:c>
      <x:c r="C501" t="str">
        <x:v>Skibox</x:v>
      </x:c>
      <x:c r="D501" t="str">
        <x:v>Oils &amp; Fats</x:v>
      </x:c>
      <x:c r="E501" t="str">
        <x:v>Active</x:v>
      </x:c>
      <x:c r="F501" t="n">
        <x:v>40</x:v>
      </x:c>
      <x:c r="G501" t="n">
        <x:v>2</x:v>
      </x:c>
      <x:c r="H501" s="22" t="n">
        <x:v>72</x:v>
      </x:c>
      <x:c r="I501" t="n">
        <x:v>58</x:v>
      </x:c>
      <x:c r="J501" t="n">
        <x:v>0</x:v>
      </x:c>
    </x:row>
    <x:row r="502" ht="18" customHeight="1">
      <x:c r="A502" t="str">
        <x:v>73-751-4393</x:v>
      </x:c>
      <x:c r="B502" t="str">
        <x:v>Onion</x:v>
      </x:c>
      <x:c r="C502" t="str">
        <x:v>Skyndu</x:v>
      </x:c>
      <x:c r="D502" t="str">
        <x:v>Fruits &amp; Vegetables</x:v>
      </x:c>
      <x:c r="E502" t="str">
        <x:v>Discontinued</x:v>
      </x:c>
      <x:c r="F502" t="n">
        <x:v>68</x:v>
      </x:c>
      <x:c r="G502" t="n">
        <x:v>10</x:v>
      </x:c>
      <x:c r="H502" s="22" t="n">
        <x:v>136</x:v>
      </x:c>
      <x:c r="I502" t="n">
        <x:v>29</x:v>
      </x:c>
      <x:c r="J502" t="n">
        <x:v>0</x:v>
      </x:c>
    </x:row>
    <x:row r="503" ht="18" customHeight="1">
      <x:c r="A503" t="str">
        <x:v>50-942-2409</x:v>
      </x:c>
      <x:c r="B503" t="str">
        <x:v>Peas</x:v>
      </x:c>
      <x:c r="C503" t="str">
        <x:v>Meedoo</x:v>
      </x:c>
      <x:c r="D503" t="str">
        <x:v>Fruits &amp; Vegetables</x:v>
      </x:c>
      <x:c r="E503" t="str">
        <x:v>Backordered</x:v>
      </x:c>
      <x:c r="F503" t="n">
        <x:v>75</x:v>
      </x:c>
      <x:c r="G503" t="n">
        <x:v>91</x:v>
      </x:c>
      <x:c r="H503" s="22" t="n">
        <x:v>225</x:v>
      </x:c>
      <x:c r="I503" t="n">
        <x:v>68</x:v>
      </x:c>
      <x:c r="J503" t="n">
        <x:v>68</x:v>
      </x:c>
    </x:row>
    <x:row r="504" ht="18" customHeight="1">
      <x:c r="A504" t="str">
        <x:v>01-018-6418</x:v>
      </x:c>
      <x:c r="B504" t="str">
        <x:v>Chocolate Biscuit</x:v>
      </x:c>
      <x:c r="C504" t="str">
        <x:v>Chatterbridge</x:v>
      </x:c>
      <x:c r="D504" t="str">
        <x:v>Bakery</x:v>
      </x:c>
      <x:c r="E504" t="str">
        <x:v>Backordered</x:v>
      </x:c>
      <x:c r="F504" t="n">
        <x:v>68</x:v>
      </x:c>
      <x:c r="G504" t="n">
        <x:v>29</x:v>
      </x:c>
      <x:c r="H504" s="22" t="n">
        <x:v>340</x:v>
      </x:c>
      <x:c r="I504" t="n">
        <x:v>100</x:v>
      </x:c>
      <x:c r="J504" t="n">
        <x:v>0</x:v>
      </x:c>
    </x:row>
    <x:row r="505" ht="18" customHeight="1">
      <x:c r="A505" t="str">
        <x:v>59-725-4038</x:v>
      </x:c>
      <x:c r="B505" t="str">
        <x:v>Arabica Coffee</x:v>
      </x:c>
      <x:c r="C505" t="str">
        <x:v>Zoozzy</x:v>
      </x:c>
      <x:c r="D505" t="str">
        <x:v>Beverages</x:v>
      </x:c>
      <x:c r="E505" t="str">
        <x:v>Active</x:v>
      </x:c>
      <x:c r="F505" t="n">
        <x:v>78</x:v>
      </x:c>
      <x:c r="G505" t="n">
        <x:v>34</x:v>
      </x:c>
      <x:c r="H505" s="22" t="n">
        <x:v>1599</x:v>
      </x:c>
      <x:c r="I505" t="n">
        <x:v>39</x:v>
      </x:c>
      <x:c r="J505" t="n">
        <x:v>0</x:v>
      </x:c>
    </x:row>
    <x:row r="506" ht="18" customHeight="1">
      <x:c r="A506" t="str">
        <x:v>40-997-2786</x:v>
      </x:c>
      <x:c r="B506" t="str">
        <x:v>Yogurt</x:v>
      </x:c>
      <x:c r="C506" t="str">
        <x:v>Browsecat</x:v>
      </x:c>
      <x:c r="D506" t="str">
        <x:v>Dairy</x:v>
      </x:c>
      <x:c r="E506" t="str">
        <x:v>Backordered</x:v>
      </x:c>
      <x:c r="F506" t="n">
        <x:v>76</x:v>
      </x:c>
      <x:c r="G506" t="n">
        <x:v>98</x:v>
      </x:c>
      <x:c r="H506" s="22" t="n">
        <x:v>133</x:v>
      </x:c>
      <x:c r="I506" t="n">
        <x:v>41</x:v>
      </x:c>
      <x:c r="J506" t="n">
        <x:v>41</x:v>
      </x:c>
    </x:row>
    <x:row r="507" ht="18" customHeight="1">
      <x:c r="A507" t="str">
        <x:v>11-766-8738</x:v>
      </x:c>
      <x:c r="B507" t="str">
        <x:v>Watermelon</x:v>
      </x:c>
      <x:c r="C507" t="str">
        <x:v>Jabbersphere</x:v>
      </x:c>
      <x:c r="D507" t="str">
        <x:v>Fruits &amp; Vegetables</x:v>
      </x:c>
      <x:c r="E507" t="str">
        <x:v>Discontinued</x:v>
      </x:c>
      <x:c r="F507" t="n">
        <x:v>27</x:v>
      </x:c>
      <x:c r="G507" t="n">
        <x:v>64</x:v>
      </x:c>
      <x:c r="H507" s="22" t="n">
        <x:v>81</x:v>
      </x:c>
      <x:c r="I507" t="n">
        <x:v>43</x:v>
      </x:c>
      <x:c r="J507" t="n">
        <x:v>0</x:v>
      </x:c>
    </x:row>
    <x:row r="508" ht="18" customHeight="1">
      <x:c r="A508" t="str">
        <x:v>40-860-4532</x:v>
      </x:c>
      <x:c r="B508" t="str">
        <x:v>Arabica Coffee</x:v>
      </x:c>
      <x:c r="C508" t="str">
        <x:v>Yadel</x:v>
      </x:c>
      <x:c r="D508" t="str">
        <x:v>Beverages</x:v>
      </x:c>
      <x:c r="E508" t="str">
        <x:v>Active</x:v>
      </x:c>
      <x:c r="F508" t="n">
        <x:v>74</x:v>
      </x:c>
      <x:c r="G508" t="n">
        <x:v>72</x:v>
      </x:c>
      <x:c r="H508" s="22" t="n">
        <x:v>1554</x:v>
      </x:c>
      <x:c r="I508" t="n">
        <x:v>18</x:v>
      </x:c>
      <x:c r="J508" t="n">
        <x:v>0</x:v>
      </x:c>
    </x:row>
    <x:row r="509" ht="18" customHeight="1">
      <x:c r="A509" t="str">
        <x:v>55-936-2406</x:v>
      </x:c>
      <x:c r="B509" t="str">
        <x:v>Bread Flour</x:v>
      </x:c>
      <x:c r="C509" t="str">
        <x:v>Mynte</x:v>
      </x:c>
      <x:c r="D509" t="str">
        <x:v>Grains &amp; Pulses</x:v>
      </x:c>
      <x:c r="E509" t="str">
        <x:v>Active</x:v>
      </x:c>
      <x:c r="F509" t="n">
        <x:v>27</x:v>
      </x:c>
      <x:c r="G509" t="n">
        <x:v>93</x:v>
      </x:c>
      <x:c r="H509" s="22" t="n">
        <x:v>40.5</x:v>
      </x:c>
      <x:c r="I509" t="n">
        <x:v>88</x:v>
      </x:c>
      <x:c r="J509" t="n">
        <x:v>88</x:v>
      </x:c>
    </x:row>
    <x:row r="510" ht="18" customHeight="1">
      <x:c r="A510" t="str">
        <x:v>62-816-8794</x:v>
      </x:c>
      <x:c r="B510" t="str">
        <x:v>Rice Flour</x:v>
      </x:c>
      <x:c r="C510" t="str">
        <x:v>Photobug</x:v>
      </x:c>
      <x:c r="D510" t="str">
        <x:v>Grains &amp; Pulses</x:v>
      </x:c>
      <x:c r="E510" t="str">
        <x:v>Backordered</x:v>
      </x:c>
      <x:c r="F510" t="n">
        <x:v>15</x:v>
      </x:c>
      <x:c r="G510" t="n">
        <x:v>76</x:v>
      </x:c>
      <x:c r="H510" s="22" t="n">
        <x:v>30</x:v>
      </x:c>
      <x:c r="I510" t="n">
        <x:v>81</x:v>
      </x:c>
      <x:c r="J510" t="n">
        <x:v>81</x:v>
      </x:c>
    </x:row>
    <x:row r="511" ht="18" customHeight="1">
      <x:c r="A511" t="str">
        <x:v>04-104-6993</x:v>
      </x:c>
      <x:c r="B511" t="str">
        <x:v>Buttermilk</x:v>
      </x:c>
      <x:c r="C511" t="str">
        <x:v>Trilia</x:v>
      </x:c>
      <x:c r="D511" t="str">
        <x:v>Dairy</x:v>
      </x:c>
      <x:c r="E511" t="str">
        <x:v>Active</x:v>
      </x:c>
      <x:c r="F511" t="n">
        <x:v>60</x:v>
      </x:c>
      <x:c r="G511" t="n">
        <x:v>1</x:v>
      </x:c>
      <x:c r="H511" s="22" t="n">
        <x:v>147</x:v>
      </x:c>
      <x:c r="I511" t="n">
        <x:v>42</x:v>
      </x:c>
      <x:c r="J511" t="n">
        <x:v>0</x:v>
      </x:c>
    </x:row>
    <x:row r="512" ht="18" customHeight="1">
      <x:c r="A512" t="str">
        <x:v>35-835-5591</x:v>
      </x:c>
      <x:c r="B512" t="str">
        <x:v>Tilapia</x:v>
      </x:c>
      <x:c r="C512" t="str">
        <x:v>Fiveclub</x:v>
      </x:c>
      <x:c r="D512" t="str">
        <x:v>Seafood</x:v>
      </x:c>
      <x:c r="E512" t="str">
        <x:v>Backordered</x:v>
      </x:c>
      <x:c r="F512" t="n">
        <x:v>95</x:v>
      </x:c>
      <x:c r="G512" t="n">
        <x:v>63</x:v>
      </x:c>
      <x:c r="H512" s="22" t="n">
        <x:v>665</x:v>
      </x:c>
      <x:c r="I512" t="n">
        <x:v>73</x:v>
      </x:c>
      <x:c r="J512" t="n">
        <x:v>0</x:v>
      </x:c>
    </x:row>
    <x:row r="513" ht="18" customHeight="1">
      <x:c r="A513" t="str">
        <x:v>83-704-6367</x:v>
      </x:c>
      <x:c r="B513" t="str">
        <x:v>Arabica Coffee</x:v>
      </x:c>
      <x:c r="C513" t="str">
        <x:v>Feedmix</x:v>
      </x:c>
      <x:c r="D513" t="str">
        <x:v>Beverages</x:v>
      </x:c>
      <x:c r="E513" t="str">
        <x:v>Discontinued</x:v>
      </x:c>
      <x:c r="F513" t="n">
        <x:v>21</x:v>
      </x:c>
      <x:c r="G513" t="n">
        <x:v>87</x:v>
      </x:c>
      <x:c r="H513" s="22" t="n">
        <x:v>441</x:v>
      </x:c>
      <x:c r="I513" t="n">
        <x:v>12</x:v>
      </x:c>
      <x:c r="J513" t="n">
        <x:v>0</x:v>
      </x:c>
    </x:row>
    <x:row r="514" ht="18" customHeight="1">
      <x:c r="A514" t="str">
        <x:v>60-771-0879</x:v>
      </x:c>
      <x:c r="B514" t="str">
        <x:v>Blueberries</x:v>
      </x:c>
      <x:c r="C514" t="str">
        <x:v>Kayveo</x:v>
      </x:c>
      <x:c r="D514" t="str">
        <x:v>Fruits &amp; Vegetables</x:v>
      </x:c>
      <x:c r="E514" t="str">
        <x:v>Discontinued</x:v>
      </x:c>
      <x:c r="F514" t="n">
        <x:v>89</x:v>
      </x:c>
      <x:c r="G514" t="n">
        <x:v>15</x:v>
      </x:c>
      <x:c r="H514" s="22" t="n">
        <x:v>890</x:v>
      </x:c>
      <x:c r="I514" t="n">
        <x:v>22</x:v>
      </x:c>
      <x:c r="J514" t="n">
        <x:v>0</x:v>
      </x:c>
    </x:row>
    <x:row r="515" ht="18" customHeight="1">
      <x:c r="A515" t="str">
        <x:v>27-269-5260</x:v>
      </x:c>
      <x:c r="B515" t="str">
        <x:v>Pineapple</x:v>
      </x:c>
      <x:c r="C515" t="str">
        <x:v>Rhyloo</x:v>
      </x:c>
      <x:c r="D515" t="str">
        <x:v>Fruits &amp; Vegetables</x:v>
      </x:c>
      <x:c r="E515" t="str">
        <x:v>Active</x:v>
      </x:c>
      <x:c r="F515" t="n">
        <x:v>14</x:v>
      </x:c>
      <x:c r="G515" t="n">
        <x:v>81</x:v>
      </x:c>
      <x:c r="H515" s="22" t="n">
        <x:v>49</x:v>
      </x:c>
      <x:c r="I515" t="n">
        <x:v>65</x:v>
      </x:c>
      <x:c r="J515" t="n">
        <x:v>67</x:v>
      </x:c>
    </x:row>
    <x:row r="516" ht="18" customHeight="1">
      <x:c r="A516" t="str">
        <x:v>20-031-0532</x:v>
      </x:c>
      <x:c r="B516" t="str">
        <x:v>Mango</x:v>
      </x:c>
      <x:c r="C516" t="str">
        <x:v>Oyoloo</x:v>
      </x:c>
      <x:c r="D516" t="str">
        <x:v>Fruits &amp; Vegetables</x:v>
      </x:c>
      <x:c r="E516" t="str">
        <x:v>Discontinued</x:v>
      </x:c>
      <x:c r="F516" t="n">
        <x:v>32</x:v>
      </x:c>
      <x:c r="G516" t="n">
        <x:v>63</x:v>
      </x:c>
      <x:c r="H516" s="22" t="n">
        <x:v>156.8</x:v>
      </x:c>
      <x:c r="I516" t="n">
        <x:v>92</x:v>
      </x:c>
      <x:c r="J516" t="n">
        <x:v>0</x:v>
      </x:c>
    </x:row>
    <x:row r="517" ht="18" customHeight="1">
      <x:c r="A517" t="str">
        <x:v>19-323-0506</x:v>
      </x:c>
      <x:c r="B517" t="str">
        <x:v>Halibut</x:v>
      </x:c>
      <x:c r="C517" t="str">
        <x:v>Skidoo</x:v>
      </x:c>
      <x:c r="D517" t="str">
        <x:v>Seafood</x:v>
      </x:c>
      <x:c r="E517" t="str">
        <x:v>Backordered</x:v>
      </x:c>
      <x:c r="F517" t="n">
        <x:v>68</x:v>
      </x:c>
      <x:c r="G517" t="n">
        <x:v>43</x:v>
      </x:c>
      <x:c r="H517" s="22" t="n">
        <x:v>1360</x:v>
      </x:c>
      <x:c r="I517" t="n">
        <x:v>96</x:v>
      </x:c>
      <x:c r="J517" t="n">
        <x:v>0</x:v>
      </x:c>
    </x:row>
    <x:row r="518" ht="18" customHeight="1">
      <x:c r="A518" t="str">
        <x:v>46-452-9419</x:v>
      </x:c>
      <x:c r="B518" t="str">
        <x:v>Egg (Duck)</x:v>
      </x:c>
      <x:c r="C518" t="str">
        <x:v>Wordify</x:v>
      </x:c>
      <x:c r="D518" t="str">
        <x:v>Dairy</x:v>
      </x:c>
      <x:c r="E518" t="str">
        <x:v>Active</x:v>
      </x:c>
      <x:c r="F518" t="n">
        <x:v>43</x:v>
      </x:c>
      <x:c r="G518" t="n">
        <x:v>10</x:v>
      </x:c>
      <x:c r="H518" s="22" t="n">
        <x:v>43</x:v>
      </x:c>
      <x:c r="I518" t="n">
        <x:v>15</x:v>
      </x:c>
      <x:c r="J518" t="n">
        <x:v>0</x:v>
      </x:c>
    </x:row>
    <x:row r="519" ht="18" customHeight="1">
      <x:c r="A519" t="str">
        <x:v>90-492-0564</x:v>
      </x:c>
      <x:c r="B519" t="str">
        <x:v>Pomegranate</x:v>
      </x:c>
      <x:c r="C519" t="str">
        <x:v>Shuffledrive</x:v>
      </x:c>
      <x:c r="D519" t="str">
        <x:v>Fruits &amp; Vegetables</x:v>
      </x:c>
      <x:c r="E519" t="str">
        <x:v>Discontinued</x:v>
      </x:c>
      <x:c r="F519" t="n">
        <x:v>92</x:v>
      </x:c>
      <x:c r="G519" t="n">
        <x:v>96</x:v>
      </x:c>
      <x:c r="H519" s="22" t="n">
        <x:v>552</x:v>
      </x:c>
      <x:c r="I519" t="n">
        <x:v>56</x:v>
      </x:c>
      <x:c r="J519" t="n">
        <x:v>0</x:v>
      </x:c>
    </x:row>
    <x:row r="520" ht="18" customHeight="1">
      <x:c r="A520" t="str">
        <x:v>17-395-1121</x:v>
      </x:c>
      <x:c r="B520" t="str">
        <x:v>Plum</x:v>
      </x:c>
      <x:c r="C520" t="str">
        <x:v>Lajo</x:v>
      </x:c>
      <x:c r="D520" t="str">
        <x:v>Fruits &amp; Vegetables</x:v>
      </x:c>
      <x:c r="E520" t="str">
        <x:v>Backordered</x:v>
      </x:c>
      <x:c r="F520" t="n">
        <x:v>85</x:v>
      </x:c>
      <x:c r="G520" t="n">
        <x:v>16</x:v>
      </x:c>
      <x:c r="H520" s="22" t="n">
        <x:v>327.25</x:v>
      </x:c>
      <x:c r="I520" t="n">
        <x:v>74</x:v>
      </x:c>
      <x:c r="J520" t="n">
        <x:v>0</x:v>
      </x:c>
    </x:row>
    <x:row r="521" ht="18" customHeight="1">
      <x:c r="A521" t="str">
        <x:v>83-400-9746</x:v>
      </x:c>
      <x:c r="B521" t="str">
        <x:v>Mozzarella Cheese</x:v>
      </x:c>
      <x:c r="C521" t="str">
        <x:v>Eidel</x:v>
      </x:c>
      <x:c r="D521" t="str">
        <x:v>Dairy</x:v>
      </x:c>
      <x:c r="E521" t="str">
        <x:v>Active</x:v>
      </x:c>
      <x:c r="F521" t="n">
        <x:v>24</x:v>
      </x:c>
      <x:c r="G521" t="n">
        <x:v>1</x:v>
      </x:c>
      <x:c r="H521" s="22" t="n">
        <x:v>168</x:v>
      </x:c>
      <x:c r="I521" t="n">
        <x:v>65</x:v>
      </x:c>
      <x:c r="J521" t="n">
        <x:v>0</x:v>
      </x:c>
    </x:row>
    <x:row r="522" ht="18" customHeight="1">
      <x:c r="A522" t="str">
        <x:v>19-854-3663</x:v>
      </x:c>
      <x:c r="B522" t="str">
        <x:v>Watermelon</x:v>
      </x:c>
      <x:c r="C522" t="str">
        <x:v>Dabjam</x:v>
      </x:c>
      <x:c r="D522" t="str">
        <x:v>Fruits &amp; Vegetables</x:v>
      </x:c>
      <x:c r="E522" t="str">
        <x:v>Backordered</x:v>
      </x:c>
      <x:c r="F522" t="n">
        <x:v>13</x:v>
      </x:c>
      <x:c r="G522" t="n">
        <x:v>88</x:v>
      </x:c>
      <x:c r="H522" s="22" t="n">
        <x:v>39</x:v>
      </x:c>
      <x:c r="I522" t="n">
        <x:v>11</x:v>
      </x:c>
      <x:c r="J522" t="n">
        <x:v>75</x:v>
      </x:c>
    </x:row>
    <x:row r="523" ht="18" customHeight="1">
      <x:c r="A523" t="str">
        <x:v>57-167-0669</x:v>
      </x:c>
      <x:c r="B523" t="str">
        <x:v>Haddock</x:v>
      </x:c>
      <x:c r="C523" t="str">
        <x:v>Rhybox</x:v>
      </x:c>
      <x:c r="D523" t="str">
        <x:v>Seafood</x:v>
      </x:c>
      <x:c r="E523" t="str">
        <x:v>Discontinued</x:v>
      </x:c>
      <x:c r="F523" t="n">
        <x:v>19</x:v>
      </x:c>
      <x:c r="G523" t="n">
        <x:v>99</x:v>
      </x:c>
      <x:c r="H523" s="22" t="n">
        <x:v>171</x:v>
      </x:c>
      <x:c r="I523" t="n">
        <x:v>78</x:v>
      </x:c>
      <x:c r="J523" t="n">
        <x:v>0</x:v>
      </x:c>
    </x:row>
    <x:row r="524" ht="18" customHeight="1">
      <x:c r="A524" t="str">
        <x:v>76-954-1442</x:v>
      </x:c>
      <x:c r="B524" t="str">
        <x:v>Arabica Coffee</x:v>
      </x:c>
      <x:c r="C524" t="str">
        <x:v>Mynte</x:v>
      </x:c>
      <x:c r="D524" t="str">
        <x:v>Beverages</x:v>
      </x:c>
      <x:c r="E524" t="str">
        <x:v>Backordered</x:v>
      </x:c>
      <x:c r="F524" t="n">
        <x:v>97</x:v>
      </x:c>
      <x:c r="G524" t="n">
        <x:v>77</x:v>
      </x:c>
      <x:c r="H524" s="22" t="n">
        <x:v>1940</x:v>
      </x:c>
      <x:c r="I524" t="n">
        <x:v>99</x:v>
      </x:c>
      <x:c r="J524" t="n">
        <x:v>0</x:v>
      </x:c>
    </x:row>
    <x:row r="525" ht="18" customHeight="1">
      <x:c r="A525" t="str">
        <x:v>83-763-5038</x:v>
      </x:c>
      <x:c r="B525" t="str">
        <x:v>Buttermilk</x:v>
      </x:c>
      <x:c r="C525" t="str">
        <x:v>Jatri</x:v>
      </x:c>
      <x:c r="D525" t="str">
        <x:v>Dairy</x:v>
      </x:c>
      <x:c r="E525" t="str">
        <x:v>Backordered</x:v>
      </x:c>
      <x:c r="F525" t="n">
        <x:v>52</x:v>
      </x:c>
      <x:c r="G525" t="n">
        <x:v>64</x:v>
      </x:c>
      <x:c r="H525" s="22" t="n">
        <x:v>124.8</x:v>
      </x:c>
      <x:c r="I525" t="n">
        <x:v>54</x:v>
      </x:c>
      <x:c r="J525" t="n">
        <x:v>54</x:v>
      </x:c>
    </x:row>
    <x:row r="526" ht="18" customHeight="1">
      <x:c r="A526" t="str">
        <x:v>80-375-9075</x:v>
      </x:c>
      <x:c r="B526" t="str">
        <x:v>Swiss Cheese</x:v>
      </x:c>
      <x:c r="C526" t="str">
        <x:v>Centidel</x:v>
      </x:c>
      <x:c r="D526" t="str">
        <x:v>Dairy</x:v>
      </x:c>
      <x:c r="E526" t="str">
        <x:v>Discontinued</x:v>
      </x:c>
      <x:c r="F526" t="n">
        <x:v>96</x:v>
      </x:c>
      <x:c r="G526" t="n">
        <x:v>34</x:v>
      </x:c>
      <x:c r="H526" s="22" t="n">
        <x:v>768</x:v>
      </x:c>
      <x:c r="I526" t="n">
        <x:v>57</x:v>
      </x:c>
      <x:c r="J526" t="n">
        <x:v>0</x:v>
      </x:c>
    </x:row>
    <x:row r="527" ht="18" customHeight="1">
      <x:c r="A527" t="str">
        <x:v>87-391-9658</x:v>
      </x:c>
      <x:c r="B527" t="str">
        <x:v>Corn Oil</x:v>
      </x:c>
      <x:c r="C527" t="str">
        <x:v>Centizu</x:v>
      </x:c>
      <x:c r="D527" t="str">
        <x:v>Oils &amp; Fats</x:v>
      </x:c>
      <x:c r="E527" t="str">
        <x:v>Discontinued</x:v>
      </x:c>
      <x:c r="F527" t="n">
        <x:v>26</x:v>
      </x:c>
      <x:c r="G527" t="n">
        <x:v>100</x:v>
      </x:c>
      <x:c r="H527" s="22" t="n">
        <x:v>65</x:v>
      </x:c>
      <x:c r="I527" t="n">
        <x:v>13</x:v>
      </x:c>
      <x:c r="J527" t="n">
        <x:v>0</x:v>
      </x:c>
    </x:row>
    <x:row r="528" ht="18" customHeight="1">
      <x:c r="A528" t="str">
        <x:v>67-725-6830</x:v>
      </x:c>
      <x:c r="B528" t="str">
        <x:v>Brown Rice</x:v>
      </x:c>
      <x:c r="C528" t="str">
        <x:v>Quinu</x:v>
      </x:c>
      <x:c r="D528" t="str">
        <x:v>Grains &amp; Pulses</x:v>
      </x:c>
      <x:c r="E528" t="str">
        <x:v>Backordered</x:v>
      </x:c>
      <x:c r="F528" t="n">
        <x:v>51</x:v>
      </x:c>
      <x:c r="G528" t="n">
        <x:v>47</x:v>
      </x:c>
      <x:c r="H528" s="22" t="n">
        <x:v>127.5</x:v>
      </x:c>
      <x:c r="I528" t="n">
        <x:v>6</x:v>
      </x:c>
      <x:c r="J528" t="n">
        <x:v>0</x:v>
      </x:c>
    </x:row>
    <x:row r="529" ht="18" customHeight="1">
      <x:c r="A529" t="str">
        <x:v>12-093-9863</x:v>
      </x:c>
      <x:c r="B529" t="str">
        <x:v>Arborio Rice</x:v>
      </x:c>
      <x:c r="C529" t="str">
        <x:v>Feednation</x:v>
      </x:c>
      <x:c r="D529" t="str">
        <x:v>Grains &amp; Pulses</x:v>
      </x:c>
      <x:c r="E529" t="str">
        <x:v>Active</x:v>
      </x:c>
      <x:c r="F529" t="n">
        <x:v>51</x:v>
      </x:c>
      <x:c r="G529" t="n">
        <x:v>19</x:v>
      </x:c>
      <x:c r="H529" s="22" t="n">
        <x:v>229.5</x:v>
      </x:c>
      <x:c r="I529" t="n">
        <x:v>96</x:v>
      </x:c>
      <x:c r="J529" t="n">
        <x:v>0</x:v>
      </x:c>
    </x:row>
    <x:row r="530" ht="18" customHeight="1">
      <x:c r="A530" t="str">
        <x:v>44-408-7594</x:v>
      </x:c>
      <x:c r="B530" t="str">
        <x:v>Eggplant</x:v>
      </x:c>
      <x:c r="C530" t="str">
        <x:v>Eire</x:v>
      </x:c>
      <x:c r="D530" t="str">
        <x:v>Fruits &amp; Vegetables</x:v>
      </x:c>
      <x:c r="E530" t="str">
        <x:v>Backordered</x:v>
      </x:c>
      <x:c r="F530" t="n">
        <x:v>39</x:v>
      </x:c>
      <x:c r="G530" t="n">
        <x:v>21</x:v>
      </x:c>
      <x:c r="H530" s="22" t="n">
        <x:v>117</x:v>
      </x:c>
      <x:c r="I530" t="n">
        <x:v>5</x:v>
      </x:c>
      <x:c r="J530" t="n">
        <x:v>0</x:v>
      </x:c>
    </x:row>
    <x:row r="531" ht="18" customHeight="1">
      <x:c r="A531" t="str">
        <x:v>04-637-8815</x:v>
      </x:c>
      <x:c r="B531" t="str">
        <x:v>Apricot</x:v>
      </x:c>
      <x:c r="C531" t="str">
        <x:v>Zoonder</x:v>
      </x:c>
      <x:c r="D531" t="str">
        <x:v>Fruits &amp; Vegetables</x:v>
      </x:c>
      <x:c r="E531" t="str">
        <x:v>Active</x:v>
      </x:c>
      <x:c r="F531" t="n">
        <x:v>90</x:v>
      </x:c>
      <x:c r="G531" t="n">
        <x:v>91</x:v>
      </x:c>
      <x:c r="H531" s="22" t="n">
        <x:v>450</x:v>
      </x:c>
      <x:c r="I531" t="n">
        <x:v>62</x:v>
      </x:c>
      <x:c r="J531" t="n">
        <x:v>62</x:v>
      </x:c>
    </x:row>
    <x:row r="532" ht="18" customHeight="1">
      <x:c r="A532" t="str">
        <x:v>88-746-9468</x:v>
      </x:c>
      <x:c r="B532" t="str">
        <x:v>Onion</x:v>
      </x:c>
      <x:c r="C532" t="str">
        <x:v>Skiba</x:v>
      </x:c>
      <x:c r="D532" t="str">
        <x:v>Fruits &amp; Vegetables</x:v>
      </x:c>
      <x:c r="E532" t="str">
        <x:v>Active</x:v>
      </x:c>
      <x:c r="F532" t="n">
        <x:v>35</x:v>
      </x:c>
      <x:c r="G532" t="n">
        <x:v>92</x:v>
      </x:c>
      <x:c r="H532" s="22" t="n">
        <x:v>70</x:v>
      </x:c>
      <x:c r="I532" t="n">
        <x:v>74</x:v>
      </x:c>
      <x:c r="J532" t="n">
        <x:v>74</x:v>
      </x:c>
    </x:row>
    <x:row r="533" ht="18" customHeight="1">
      <x:c r="A533" t="str">
        <x:v>32-987-5559</x:v>
      </x:c>
      <x:c r="B533" t="str">
        <x:v>Green Tea</x:v>
      </x:c>
      <x:c r="C533" t="str">
        <x:v>Zoovu</x:v>
      </x:c>
      <x:c r="D533" t="str">
        <x:v>Beverages</x:v>
      </x:c>
      <x:c r="E533" t="str">
        <x:v>Backordered</x:v>
      </x:c>
      <x:c r="F533" t="n">
        <x:v>39</x:v>
      </x:c>
      <x:c r="G533" t="n">
        <x:v>88</x:v>
      </x:c>
      <x:c r="H533" s="22" t="n">
        <x:v>312</x:v>
      </x:c>
      <x:c r="I533" t="n">
        <x:v>100</x:v>
      </x:c>
      <x:c r="J533" t="n">
        <x:v>100</x:v>
      </x:c>
    </x:row>
    <x:row r="534" ht="18" customHeight="1">
      <x:c r="A534" t="str">
        <x:v>02-484-0206</x:v>
      </x:c>
      <x:c r="B534" t="str">
        <x:v>Short Grain Rice</x:v>
      </x:c>
      <x:c r="C534" t="str">
        <x:v>Quatz</x:v>
      </x:c>
      <x:c r="D534" t="str">
        <x:v>Grains &amp; Pulses</x:v>
      </x:c>
      <x:c r="E534" t="str">
        <x:v>Active</x:v>
      </x:c>
      <x:c r="F534" t="n">
        <x:v>64</x:v>
      </x:c>
      <x:c r="G534" t="n">
        <x:v>97</x:v>
      </x:c>
      <x:c r="H534" s="22" t="n">
        <x:v>192</x:v>
      </x:c>
      <x:c r="I534" t="n">
        <x:v>91</x:v>
      </x:c>
      <x:c r="J534" t="n">
        <x:v>91</x:v>
      </x:c>
    </x:row>
    <x:row r="535" ht="18" customHeight="1">
      <x:c r="A535" t="str">
        <x:v>80-441-7249</x:v>
      </x:c>
      <x:c r="B535" t="str">
        <x:v>Wild Rice</x:v>
      </x:c>
      <x:c r="C535" t="str">
        <x:v>Yoveo</x:v>
      </x:c>
      <x:c r="D535" t="str">
        <x:v>Grains &amp; Pulses</x:v>
      </x:c>
      <x:c r="E535" t="str">
        <x:v>Active</x:v>
      </x:c>
      <x:c r="F535" t="n">
        <x:v>98</x:v>
      </x:c>
      <x:c r="G535" t="n">
        <x:v>30</x:v>
      </x:c>
      <x:c r="H535" s="22" t="n">
        <x:v>980</x:v>
      </x:c>
      <x:c r="I535" t="n">
        <x:v>39</x:v>
      </x:c>
      <x:c r="J535" t="n">
        <x:v>0</x:v>
      </x:c>
    </x:row>
    <x:row r="536" ht="18" customHeight="1">
      <x:c r="A536" t="str">
        <x:v>41-316-8427</x:v>
      </x:c>
      <x:c r="B536" t="str">
        <x:v>Arborio Rice</x:v>
      </x:c>
      <x:c r="C536" t="str">
        <x:v>Realcube</x:v>
      </x:c>
      <x:c r="D536" t="str">
        <x:v>Grains &amp; Pulses</x:v>
      </x:c>
      <x:c r="E536" t="str">
        <x:v>Active</x:v>
      </x:c>
      <x:c r="F536" t="n">
        <x:v>95</x:v>
      </x:c>
      <x:c r="G536" t="n">
        <x:v>93</x:v>
      </x:c>
      <x:c r="H536" s="22" t="n">
        <x:v>427.5</x:v>
      </x:c>
      <x:c r="I536" t="n">
        <x:v>16</x:v>
      </x:c>
      <x:c r="J536" t="n">
        <x:v>0</x:v>
      </x:c>
    </x:row>
    <x:row r="537" ht="18" customHeight="1">
      <x:c r="A537" t="str">
        <x:v>56-668-5370</x:v>
      </x:c>
      <x:c r="B537" t="str">
        <x:v>Vegetable Oil</x:v>
      </x:c>
      <x:c r="C537" t="str">
        <x:v>Vimbo</x:v>
      </x:c>
      <x:c r="D537" t="str">
        <x:v>Oils &amp; Fats</x:v>
      </x:c>
      <x:c r="E537" t="str">
        <x:v>Discontinued</x:v>
      </x:c>
      <x:c r="F537" t="n">
        <x:v>70</x:v>
      </x:c>
      <x:c r="G537" t="n">
        <x:v>96</x:v>
      </x:c>
      <x:c r="H537" s="22" t="n">
        <x:v>140</x:v>
      </x:c>
      <x:c r="I537" t="n">
        <x:v>21</x:v>
      </x:c>
      <x:c r="J537" t="n">
        <x:v>0</x:v>
      </x:c>
    </x:row>
    <x:row r="538" ht="18" customHeight="1">
      <x:c r="A538" t="str">
        <x:v>45-172-7012</x:v>
      </x:c>
      <x:c r="B538" t="str">
        <x:v>Papaya</x:v>
      </x:c>
      <x:c r="C538" t="str">
        <x:v>Brightbean</x:v>
      </x:c>
      <x:c r="D538" t="str">
        <x:v>Fruits &amp; Vegetables</x:v>
      </x:c>
      <x:c r="E538" t="str">
        <x:v>Active</x:v>
      </x:c>
      <x:c r="F538" t="n">
        <x:v>20</x:v>
      </x:c>
      <x:c r="G538" t="n">
        <x:v>91</x:v>
      </x:c>
      <x:c r="H538" s="22" t="n">
        <x:v>90</x:v>
      </x:c>
      <x:c r="I538" t="n">
        <x:v>12</x:v>
      </x:c>
      <x:c r="J538" t="n">
        <x:v>71</x:v>
      </x:c>
    </x:row>
    <x:row r="539" ht="18" customHeight="1">
      <x:c r="A539" t="str">
        <x:v>93-015-0811</x:v>
      </x:c>
      <x:c r="B539" t="str">
        <x:v>Pineapple</x:v>
      </x:c>
      <x:c r="C539" t="str">
        <x:v>Gigashots</x:v>
      </x:c>
      <x:c r="D539" t="str">
        <x:v>Fruits &amp; Vegetables</x:v>
      </x:c>
      <x:c r="E539" t="str">
        <x:v>Discontinued</x:v>
      </x:c>
      <x:c r="F539" t="n">
        <x:v>18</x:v>
      </x:c>
      <x:c r="G539" t="n">
        <x:v>7</x:v>
      </x:c>
      <x:c r="H539" s="22" t="n">
        <x:v>63</x:v>
      </x:c>
      <x:c r="I539" t="n">
        <x:v>58</x:v>
      </x:c>
      <x:c r="J539" t="n">
        <x:v>0</x:v>
      </x:c>
    </x:row>
    <x:row r="540" ht="18" customHeight="1">
      <x:c r="A540" t="str">
        <x:v>52-029-2382</x:v>
      </x:c>
      <x:c r="B540" t="str">
        <x:v>Coconut Oil</x:v>
      </x:c>
      <x:c r="C540" t="str">
        <x:v>Brightdog</x:v>
      </x:c>
      <x:c r="D540" t="str">
        <x:v>Oils &amp; Fats</x:v>
      </x:c>
      <x:c r="E540" t="str">
        <x:v>Discontinued</x:v>
      </x:c>
      <x:c r="F540" t="n">
        <x:v>54</x:v>
      </x:c>
      <x:c r="G540" t="n">
        <x:v>86</x:v>
      </x:c>
      <x:c r="H540" s="22" t="n">
        <x:v>270</x:v>
      </x:c>
      <x:c r="I540" t="n">
        <x:v>69</x:v>
      </x:c>
      <x:c r="J540" t="n">
        <x:v>0</x:v>
      </x:c>
    </x:row>
    <x:row r="541" ht="18" customHeight="1">
      <x:c r="A541" t="str">
        <x:v>28-044-4102</x:v>
      </x:c>
      <x:c r="B541" t="str">
        <x:v>Papaya</x:v>
      </x:c>
      <x:c r="C541" t="str">
        <x:v>Yakijo</x:v>
      </x:c>
      <x:c r="D541" t="str">
        <x:v>Fruits &amp; Vegetables</x:v>
      </x:c>
      <x:c r="E541" t="str">
        <x:v>Discontinued</x:v>
      </x:c>
      <x:c r="F541" t="n">
        <x:v>19</x:v>
      </x:c>
      <x:c r="G541" t="n">
        <x:v>28</x:v>
      </x:c>
      <x:c r="H541" s="22" t="n">
        <x:v>85.5</x:v>
      </x:c>
      <x:c r="I541" t="n">
        <x:v>83</x:v>
      </x:c>
      <x:c r="J541" t="n">
        <x:v>0</x:v>
      </x:c>
    </x:row>
    <x:row r="542" ht="18" customHeight="1">
      <x:c r="A542" t="str">
        <x:v>34-861-4446</x:v>
      </x:c>
      <x:c r="B542" t="str">
        <x:v>Ricotta Cheese</x:v>
      </x:c>
      <x:c r="C542" t="str">
        <x:v>Photobug</x:v>
      </x:c>
      <x:c r="D542" t="str">
        <x:v>Dairy</x:v>
      </x:c>
      <x:c r="E542" t="str">
        <x:v>Active</x:v>
      </x:c>
      <x:c r="F542" t="n">
        <x:v>66</x:v>
      </x:c>
      <x:c r="G542" t="n">
        <x:v>40</x:v>
      </x:c>
      <x:c r="H542" s="22" t="n">
        <x:v>396</x:v>
      </x:c>
      <x:c r="I542" t="n">
        <x:v>8</x:v>
      </x:c>
      <x:c r="J542" t="n">
        <x:v>0</x:v>
      </x:c>
    </x:row>
    <x:row r="543" ht="18" customHeight="1">
      <x:c r="A543" t="str">
        <x:v>80-334-0215</x:v>
      </x:c>
      <x:c r="B543" t="str">
        <x:v>Grapes</x:v>
      </x:c>
      <x:c r="C543" t="str">
        <x:v>Camimbo</x:v>
      </x:c>
      <x:c r="D543" t="str">
        <x:v>Fruits &amp; Vegetables</x:v>
      </x:c>
      <x:c r="E543" t="str">
        <x:v>Discontinued</x:v>
      </x:c>
      <x:c r="F543" t="n">
        <x:v>88</x:v>
      </x:c>
      <x:c r="G543" t="n">
        <x:v>27</x:v>
      </x:c>
      <x:c r="H543" s="22" t="n">
        <x:v>484</x:v>
      </x:c>
      <x:c r="I543" t="n">
        <x:v>92</x:v>
      </x:c>
      <x:c r="J543" t="n">
        <x:v>0</x:v>
      </x:c>
    </x:row>
    <x:row r="544" ht="18" customHeight="1">
      <x:c r="A544" t="str">
        <x:v>94-697-2396</x:v>
      </x:c>
      <x:c r="B544" t="str">
        <x:v>Sourdough Bread</x:v>
      </x:c>
      <x:c r="C544" t="str">
        <x:v>Zoomlounge</x:v>
      </x:c>
      <x:c r="D544" t="str">
        <x:v>Bakery</x:v>
      </x:c>
      <x:c r="E544" t="str">
        <x:v>Discontinued</x:v>
      </x:c>
      <x:c r="F544" t="n">
        <x:v>71</x:v>
      </x:c>
      <x:c r="G544" t="n">
        <x:v>97</x:v>
      </x:c>
      <x:c r="H544" s="22" t="n">
        <x:v>284</x:v>
      </x:c>
      <x:c r="I544" t="n">
        <x:v>44</x:v>
      </x:c>
      <x:c r="J544" t="n">
        <x:v>0</x:v>
      </x:c>
    </x:row>
    <x:row r="545" ht="18" customHeight="1">
      <x:c r="A545" t="str">
        <x:v>76-027-4850</x:v>
      </x:c>
      <x:c r="B545" t="str">
        <x:v>Onion</x:v>
      </x:c>
      <x:c r="C545" t="str">
        <x:v>Tavu</x:v>
      </x:c>
      <x:c r="D545" t="str">
        <x:v>Fruits &amp; Vegetables</x:v>
      </x:c>
      <x:c r="E545" t="str">
        <x:v>Active</x:v>
      </x:c>
      <x:c r="F545" t="n">
        <x:v>39</x:v>
      </x:c>
      <x:c r="G545" t="n">
        <x:v>37</x:v>
      </x:c>
      <x:c r="H545" s="22" t="n">
        <x:v>78</x:v>
      </x:c>
      <x:c r="I545" t="n">
        <x:v>48</x:v>
      </x:c>
      <x:c r="J545" t="n">
        <x:v>0</x:v>
      </x:c>
    </x:row>
    <x:row r="546" ht="18" customHeight="1">
      <x:c r="A546" t="str">
        <x:v>15-907-3681</x:v>
      </x:c>
      <x:c r="B546" t="str">
        <x:v>Plum</x:v>
      </x:c>
      <x:c r="C546" t="str">
        <x:v>Brainsphere</x:v>
      </x:c>
      <x:c r="D546" t="str">
        <x:v>Fruits &amp; Vegetables</x:v>
      </x:c>
      <x:c r="E546" t="str">
        <x:v>Discontinued</x:v>
      </x:c>
      <x:c r="F546" t="n">
        <x:v>20</x:v>
      </x:c>
      <x:c r="G546" t="n">
        <x:v>42</x:v>
      </x:c>
      <x:c r="H546" s="22" t="n">
        <x:v>77</x:v>
      </x:c>
      <x:c r="I546" t="n">
        <x:v>21</x:v>
      </x:c>
      <x:c r="J546" t="n">
        <x:v>0</x:v>
      </x:c>
    </x:row>
    <x:row r="547" ht="18" customHeight="1">
      <x:c r="A547" t="str">
        <x:v>00-641-8691</x:v>
      </x:c>
      <x:c r="B547" t="str">
        <x:v>Black Coffee</x:v>
      </x:c>
      <x:c r="C547" t="str">
        <x:v>Brainverse</x:v>
      </x:c>
      <x:c r="D547" t="str">
        <x:v>Beverages</x:v>
      </x:c>
      <x:c r="E547" t="str">
        <x:v>Discontinued</x:v>
      </x:c>
      <x:c r="F547" t="n">
        <x:v>33</x:v>
      </x:c>
      <x:c r="G547" t="n">
        <x:v>22</x:v>
      </x:c>
      <x:c r="H547" s="22" t="n">
        <x:v>495</x:v>
      </x:c>
      <x:c r="I547" t="n">
        <x:v>94</x:v>
      </x:c>
      <x:c r="J547" t="n">
        <x:v>0</x:v>
      </x:c>
    </x:row>
    <x:row r="548" ht="18" customHeight="1">
      <x:c r="A548" t="str">
        <x:v>15-762-1058</x:v>
      </x:c>
      <x:c r="B548" t="str">
        <x:v>Lime</x:v>
      </x:c>
      <x:c r="C548" t="str">
        <x:v>Tazz</x:v>
      </x:c>
      <x:c r="D548" t="str">
        <x:v>Fruits &amp; Vegetables</x:v>
      </x:c>
      <x:c r="E548" t="str">
        <x:v>Backordered</x:v>
      </x:c>
      <x:c r="F548" t="n">
        <x:v>29</x:v>
      </x:c>
      <x:c r="G548" t="n">
        <x:v>83</x:v>
      </x:c>
      <x:c r="H548" s="22" t="n">
        <x:v>58</x:v>
      </x:c>
      <x:c r="I548" t="n">
        <x:v>91</x:v>
      </x:c>
      <x:c r="J548" t="n">
        <x:v>91</x:v>
      </x:c>
    </x:row>
    <x:row r="549" ht="18" customHeight="1">
      <x:c r="A549" t="str">
        <x:v>57-779-4955</x:v>
      </x:c>
      <x:c r="B549" t="str">
        <x:v>Black Rice</x:v>
      </x:c>
      <x:c r="C549" t="str">
        <x:v>Zazio</x:v>
      </x:c>
      <x:c r="D549" t="str">
        <x:v>Grains &amp; Pulses</x:v>
      </x:c>
      <x:c r="E549" t="str">
        <x:v>Backordered</x:v>
      </x:c>
      <x:c r="F549" t="n">
        <x:v>92</x:v>
      </x:c>
      <x:c r="G549" t="n">
        <x:v>48</x:v>
      </x:c>
      <x:c r="H549" s="22" t="n">
        <x:v>575</x:v>
      </x:c>
      <x:c r="I549" t="n">
        <x:v>22</x:v>
      </x:c>
      <x:c r="J549" t="n">
        <x:v>0</x:v>
      </x:c>
    </x:row>
    <x:row r="550" ht="18" customHeight="1">
      <x:c r="A550" t="str">
        <x:v>68-436-1268</x:v>
      </x:c>
      <x:c r="B550" t="str">
        <x:v>Egg (Duck)</x:v>
      </x:c>
      <x:c r="C550" t="str">
        <x:v>Aivee</x:v>
      </x:c>
      <x:c r="D550" t="str">
        <x:v>Dairy</x:v>
      </x:c>
      <x:c r="E550" t="str">
        <x:v>Backordered</x:v>
      </x:c>
      <x:c r="F550" t="n">
        <x:v>70</x:v>
      </x:c>
      <x:c r="G550" t="n">
        <x:v>92</x:v>
      </x:c>
      <x:c r="H550" s="22" t="n">
        <x:v>70</x:v>
      </x:c>
      <x:c r="I550" t="n">
        <x:v>74</x:v>
      </x:c>
      <x:c r="J550" t="n">
        <x:v>74</x:v>
      </x:c>
    </x:row>
    <x:row r="551" ht="18" customHeight="1">
      <x:c r="A551" t="str">
        <x:v>26-000-1012</x:v>
      </x:c>
      <x:c r="B551" t="str">
        <x:v>Parmesan Cheese</x:v>
      </x:c>
      <x:c r="C551" t="str">
        <x:v>Quatz</x:v>
      </x:c>
      <x:c r="D551" t="str">
        <x:v>Dairy</x:v>
      </x:c>
      <x:c r="E551" t="str">
        <x:v>Backordered</x:v>
      </x:c>
      <x:c r="F551" t="n">
        <x:v>65</x:v>
      </x:c>
      <x:c r="G551" t="n">
        <x:v>54</x:v>
      </x:c>
      <x:c r="H551" s="22" t="n">
        <x:v>780</x:v>
      </x:c>
      <x:c r="I551" t="n">
        <x:v>29</x:v>
      </x:c>
      <x:c r="J551" t="n">
        <x:v>0</x:v>
      </x:c>
    </x:row>
    <x:row r="552" ht="18" customHeight="1">
      <x:c r="A552" t="str">
        <x:v>75-094-1179</x:v>
      </x:c>
      <x:c r="B552" t="str">
        <x:v>Rye Bread</x:v>
      </x:c>
      <x:c r="C552" t="str">
        <x:v>Vitz</x:v>
      </x:c>
      <x:c r="D552" t="str">
        <x:v>Bakery</x:v>
      </x:c>
      <x:c r="E552" t="str">
        <x:v>Discontinued</x:v>
      </x:c>
      <x:c r="F552" t="n">
        <x:v>26</x:v>
      </x:c>
      <x:c r="G552" t="n">
        <x:v>79</x:v>
      </x:c>
      <x:c r="H552" s="22" t="n">
        <x:v>78</x:v>
      </x:c>
      <x:c r="I552" t="n">
        <x:v>31</x:v>
      </x:c>
      <x:c r="J552" t="n">
        <x:v>0</x:v>
      </x:c>
    </x:row>
    <x:row r="553" ht="18" customHeight="1">
      <x:c r="A553" t="str">
        <x:v>11-032-9778</x:v>
      </x:c>
      <x:c r="B553" t="str">
        <x:v>Peas</x:v>
      </x:c>
      <x:c r="C553" t="str">
        <x:v>Edgepulse</x:v>
      </x:c>
      <x:c r="D553" t="str">
        <x:v>Fruits &amp; Vegetables</x:v>
      </x:c>
      <x:c r="E553" t="str">
        <x:v>Backordered</x:v>
      </x:c>
      <x:c r="F553" t="n">
        <x:v>99</x:v>
      </x:c>
      <x:c r="G553" t="n">
        <x:v>1</x:v>
      </x:c>
      <x:c r="H553" s="22" t="n">
        <x:v>297</x:v>
      </x:c>
      <x:c r="I553" t="n">
        <x:v>4</x:v>
      </x:c>
      <x:c r="J553" t="n">
        <x:v>0</x:v>
      </x:c>
    </x:row>
    <x:row r="554" ht="18" customHeight="1">
      <x:c r="A554" t="str">
        <x:v>24-478-8277</x:v>
      </x:c>
      <x:c r="B554" t="str">
        <x:v>Multigrain Bread</x:v>
      </x:c>
      <x:c r="C554" t="str">
        <x:v>Bubblebox</x:v>
      </x:c>
      <x:c r="D554" t="str">
        <x:v>Bakery</x:v>
      </x:c>
      <x:c r="E554" t="str">
        <x:v>Active</x:v>
      </x:c>
      <x:c r="F554" t="n">
        <x:v>47</x:v>
      </x:c>
      <x:c r="G554" t="n">
        <x:v>26</x:v>
      </x:c>
      <x:c r="H554" s="22" t="n">
        <x:v>152.75</x:v>
      </x:c>
      <x:c r="I554" t="n">
        <x:v>40</x:v>
      </x:c>
      <x:c r="J554" t="n">
        <x:v>0</x:v>
      </x:c>
    </x:row>
    <x:row r="555" ht="18" customHeight="1">
      <x:c r="A555" t="str">
        <x:v>12-239-9399</x:v>
      </x:c>
      <x:c r="B555" t="str">
        <x:v>Potato</x:v>
      </x:c>
      <x:c r="C555" t="str">
        <x:v>Tagtune</x:v>
      </x:c>
      <x:c r="D555" t="str">
        <x:v>Fruits &amp; Vegetables</x:v>
      </x:c>
      <x:c r="E555" t="str">
        <x:v>Active</x:v>
      </x:c>
      <x:c r="F555" t="n">
        <x:v>28</x:v>
      </x:c>
      <x:c r="G555" t="n">
        <x:v>40</x:v>
      </x:c>
      <x:c r="H555" s="22" t="n">
        <x:v>33.6</x:v>
      </x:c>
      <x:c r="I555" t="n">
        <x:v>27</x:v>
      </x:c>
      <x:c r="J555" t="n">
        <x:v>27</x:v>
      </x:c>
    </x:row>
    <x:row r="556" ht="18" customHeight="1">
      <x:c r="A556" t="str">
        <x:v>83-321-7887</x:v>
      </x:c>
      <x:c r="B556" t="str">
        <x:v>Egg (Duck)</x:v>
      </x:c>
      <x:c r="C556" t="str">
        <x:v>Yombu</x:v>
      </x:c>
      <x:c r="D556" t="str">
        <x:v>Dairy</x:v>
      </x:c>
      <x:c r="E556" t="str">
        <x:v>Discontinued</x:v>
      </x:c>
      <x:c r="F556" t="n">
        <x:v>44</x:v>
      </x:c>
      <x:c r="G556" t="n">
        <x:v>75</x:v>
      </x:c>
      <x:c r="H556" s="22" t="n">
        <x:v>44</x:v>
      </x:c>
      <x:c r="I556" t="n">
        <x:v>72</x:v>
      </x:c>
      <x:c r="J556" t="n">
        <x:v>0</x:v>
      </x:c>
    </x:row>
    <x:row r="557" ht="18" customHeight="1">
      <x:c r="A557" t="str">
        <x:v>80-371-3695</x:v>
      </x:c>
      <x:c r="B557" t="str">
        <x:v>Cottage Cheese</x:v>
      </x:c>
      <x:c r="C557" t="str">
        <x:v>Divape</x:v>
      </x:c>
      <x:c r="D557" t="str">
        <x:v>Dairy</x:v>
      </x:c>
      <x:c r="E557" t="str">
        <x:v>Backordered</x:v>
      </x:c>
      <x:c r="F557" t="n">
        <x:v>89</x:v>
      </x:c>
      <x:c r="G557" t="n">
        <x:v>42</x:v>
      </x:c>
      <x:c r="H557" s="22" t="n">
        <x:v>445</x:v>
      </x:c>
      <x:c r="I557" t="n">
        <x:v>76</x:v>
      </x:c>
      <x:c r="J557" t="n">
        <x:v>0</x:v>
      </x:c>
    </x:row>
    <x:row r="558" ht="18" customHeight="1">
      <x:c r="A558" t="str">
        <x:v>49-199-6836</x:v>
      </x:c>
      <x:c r="B558" t="str">
        <x:v>Tomato</x:v>
      </x:c>
      <x:c r="C558" t="str">
        <x:v>Thoughtbeat</x:v>
      </x:c>
      <x:c r="D558" t="str">
        <x:v>Fruits &amp; Vegetables</x:v>
      </x:c>
      <x:c r="E558" t="str">
        <x:v>Discontinued</x:v>
      </x:c>
      <x:c r="F558" t="n">
        <x:v>100</x:v>
      </x:c>
      <x:c r="G558" t="n">
        <x:v>64</x:v>
      </x:c>
      <x:c r="H558" s="22" t="n">
        <x:v>250</x:v>
      </x:c>
      <x:c r="I558" t="n">
        <x:v>62</x:v>
      </x:c>
      <x:c r="J558" t="n">
        <x:v>0</x:v>
      </x:c>
    </x:row>
    <x:row r="559" ht="18" customHeight="1">
      <x:c r="A559" t="str">
        <x:v>85-510-2915</x:v>
      </x:c>
      <x:c r="B559" t="str">
        <x:v>White Bread</x:v>
      </x:c>
      <x:c r="C559" t="str">
        <x:v>Mybuzz</x:v>
      </x:c>
      <x:c r="D559" t="str">
        <x:v>Bakery</x:v>
      </x:c>
      <x:c r="E559" t="str">
        <x:v>Discontinued</x:v>
      </x:c>
      <x:c r="F559" t="n">
        <x:v>62</x:v>
      </x:c>
      <x:c r="G559" t="n">
        <x:v>49</x:v>
      </x:c>
      <x:c r="H559" s="22" t="n">
        <x:v>155</x:v>
      </x:c>
      <x:c r="I559" t="n">
        <x:v>38</x:v>
      </x:c>
      <x:c r="J559" t="n">
        <x:v>0</x:v>
      </x:c>
    </x:row>
    <x:row r="560" ht="18" customHeight="1">
      <x:c r="A560" t="str">
        <x:v>08-637-9335</x:v>
      </x:c>
      <x:c r="B560" t="str">
        <x:v>Lettuce</x:v>
      </x:c>
      <x:c r="C560" t="str">
        <x:v>Meemm</x:v>
      </x:c>
      <x:c r="D560" t="str">
        <x:v>Fruits &amp; Vegetables</x:v>
      </x:c>
      <x:c r="E560" t="str">
        <x:v>Backordered</x:v>
      </x:c>
      <x:c r="F560" t="n">
        <x:v>100</x:v>
      </x:c>
      <x:c r="G560" t="n">
        <x:v>7</x:v>
      </x:c>
      <x:c r="H560" s="22" t="n">
        <x:v>200</x:v>
      </x:c>
      <x:c r="I560" t="n">
        <x:v>14</x:v>
      </x:c>
      <x:c r="J560" t="n">
        <x:v>0</x:v>
      </x:c>
    </x:row>
    <x:row r="561" ht="18" customHeight="1">
      <x:c r="A561" t="str">
        <x:v>85-212-2729</x:v>
      </x:c>
      <x:c r="B561" t="str">
        <x:v>Egg (Turkey)</x:v>
      </x:c>
      <x:c r="C561" t="str">
        <x:v>Browsecat</x:v>
      </x:c>
      <x:c r="D561" t="str">
        <x:v>Dairy</x:v>
      </x:c>
      <x:c r="E561" t="str">
        <x:v>Backordered</x:v>
      </x:c>
      <x:c r="F561" t="n">
        <x:v>42</x:v>
      </x:c>
      <x:c r="G561" t="n">
        <x:v>94</x:v>
      </x:c>
      <x:c r="H561" s="22" t="n">
        <x:v>105</x:v>
      </x:c>
      <x:c r="I561" t="n">
        <x:v>79</x:v>
      </x:c>
      <x:c r="J561" t="n">
        <x:v>79</x:v>
      </x:c>
    </x:row>
    <x:row r="562" ht="18" customHeight="1">
      <x:c r="A562" t="str">
        <x:v>51-469-4611</x:v>
      </x:c>
      <x:c r="B562" t="str">
        <x:v>Long Grain Rice</x:v>
      </x:c>
      <x:c r="C562" t="str">
        <x:v>Fivebridge</x:v>
      </x:c>
      <x:c r="D562" t="str">
        <x:v>Grains &amp; Pulses</x:v>
      </x:c>
      <x:c r="E562" t="str">
        <x:v>Discontinued</x:v>
      </x:c>
      <x:c r="F562" t="n">
        <x:v>62</x:v>
      </x:c>
      <x:c r="G562" t="n">
        <x:v>81</x:v>
      </x:c>
      <x:c r="H562" s="22" t="n">
        <x:v>99.2</x:v>
      </x:c>
      <x:c r="I562" t="n">
        <x:v>91</x:v>
      </x:c>
      <x:c r="J562" t="n">
        <x:v>0</x:v>
      </x:c>
    </x:row>
    <x:row r="563" ht="18" customHeight="1">
      <x:c r="A563" t="str">
        <x:v>34-928-2775</x:v>
      </x:c>
      <x:c r="B563" t="str">
        <x:v>Coconut</x:v>
      </x:c>
      <x:c r="C563" t="str">
        <x:v>Browseblab</x:v>
      </x:c>
      <x:c r="D563" t="str">
        <x:v>Fruits &amp; Vegetables</x:v>
      </x:c>
      <x:c r="E563" t="str">
        <x:v>Discontinued</x:v>
      </x:c>
      <x:c r="F563" t="n">
        <x:v>19</x:v>
      </x:c>
      <x:c r="G563" t="n">
        <x:v>47</x:v>
      </x:c>
      <x:c r="H563" s="22" t="n">
        <x:v>95</x:v>
      </x:c>
      <x:c r="I563" t="n">
        <x:v>25</x:v>
      </x:c>
      <x:c r="J563" t="n">
        <x:v>0</x:v>
      </x:c>
    </x:row>
    <x:row r="564" ht="18" customHeight="1">
      <x:c r="A564" t="str">
        <x:v>32-676-1026</x:v>
      </x:c>
      <x:c r="B564" t="str">
        <x:v>Salmon</x:v>
      </x:c>
      <x:c r="C564" t="str">
        <x:v>Buzzshare</x:v>
      </x:c>
      <x:c r="D564" t="str">
        <x:v>Seafood</x:v>
      </x:c>
      <x:c r="E564" t="str">
        <x:v>Backordered</x:v>
      </x:c>
      <x:c r="F564" t="n">
        <x:v>52</x:v>
      </x:c>
      <x:c r="G564" t="n">
        <x:v>46</x:v>
      </x:c>
      <x:c r="H564" s="22" t="n">
        <x:v>780</x:v>
      </x:c>
      <x:c r="I564" t="n">
        <x:v>12</x:v>
      </x:c>
      <x:c r="J564" t="n">
        <x:v>0</x:v>
      </x:c>
    </x:row>
    <x:row r="565" ht="18" customHeight="1">
      <x:c r="A565" t="str">
        <x:v>53-080-8252</x:v>
      </x:c>
      <x:c r="B565" t="str">
        <x:v>Sourdough Bread</x:v>
      </x:c>
      <x:c r="C565" t="str">
        <x:v>Thoughtstorm</x:v>
      </x:c>
      <x:c r="D565" t="str">
        <x:v>Bakery</x:v>
      </x:c>
      <x:c r="E565" t="str">
        <x:v>Discontinued</x:v>
      </x:c>
      <x:c r="F565" t="n">
        <x:v>30</x:v>
      </x:c>
      <x:c r="G565" t="n">
        <x:v>85</x:v>
      </x:c>
      <x:c r="H565" s="22" t="n">
        <x:v>135</x:v>
      </x:c>
      <x:c r="I565" t="n">
        <x:v>21</x:v>
      </x:c>
      <x:c r="J565" t="n">
        <x:v>0</x:v>
      </x:c>
    </x:row>
    <x:row r="566" ht="18" customHeight="1">
      <x:c r="A566" t="str">
        <x:v>49-526-7806</x:v>
      </x:c>
      <x:c r="B566" t="str">
        <x:v>Kale</x:v>
      </x:c>
      <x:c r="C566" t="str">
        <x:v>Yodoo</x:v>
      </x:c>
      <x:c r="D566" t="str">
        <x:v>Fruits &amp; Vegetables</x:v>
      </x:c>
      <x:c r="E566" t="str">
        <x:v>Active</x:v>
      </x:c>
      <x:c r="F566" t="n">
        <x:v>77</x:v>
      </x:c>
      <x:c r="G566" t="n">
        <x:v>52</x:v>
      </x:c>
      <x:c r="H566" s="22" t="n">
        <x:v>308</x:v>
      </x:c>
      <x:c r="I566" t="n">
        <x:v>28</x:v>
      </x:c>
      <x:c r="J566" t="n">
        <x:v>0</x:v>
      </x:c>
    </x:row>
    <x:row r="567" ht="18" customHeight="1">
      <x:c r="A567" t="str">
        <x:v>31-157-1822</x:v>
      </x:c>
      <x:c r="B567" t="str">
        <x:v>Ricotta Cheese</x:v>
      </x:c>
      <x:c r="C567" t="str">
        <x:v>Kwideo</x:v>
      </x:c>
      <x:c r="D567" t="str">
        <x:v>Dairy</x:v>
      </x:c>
      <x:c r="E567" t="str">
        <x:v>Discontinued</x:v>
      </x:c>
      <x:c r="F567" t="n">
        <x:v>96</x:v>
      </x:c>
      <x:c r="G567" t="n">
        <x:v>80</x:v>
      </x:c>
      <x:c r="H567" s="22" t="n">
        <x:v>585.6</x:v>
      </x:c>
      <x:c r="I567" t="n">
        <x:v>20</x:v>
      </x:c>
      <x:c r="J567" t="n">
        <x:v>0</x:v>
      </x:c>
    </x:row>
    <x:row r="568" ht="18" customHeight="1">
      <x:c r="A568" t="str">
        <x:v>91-426-3204</x:v>
      </x:c>
      <x:c r="B568" t="str">
        <x:v>Haddock</x:v>
      </x:c>
      <x:c r="C568" t="str">
        <x:v>Geba</x:v>
      </x:c>
      <x:c r="D568" t="str">
        <x:v>Seafood</x:v>
      </x:c>
      <x:c r="E568" t="str">
        <x:v>Backordered</x:v>
      </x:c>
      <x:c r="F568" t="n">
        <x:v>67</x:v>
      </x:c>
      <x:c r="G568" t="n">
        <x:v>71</x:v>
      </x:c>
      <x:c r="H568" s="22" t="n">
        <x:v>603</x:v>
      </x:c>
      <x:c r="I568" t="n">
        <x:v>4</x:v>
      </x:c>
      <x:c r="J568" t="n">
        <x:v>4</x:v>
      </x:c>
    </x:row>
    <x:row r="569" ht="18" customHeight="1">
      <x:c r="A569" t="str">
        <x:v>64-109-7362</x:v>
      </x:c>
      <x:c r="B569" t="str">
        <x:v>Anchovies</x:v>
      </x:c>
      <x:c r="C569" t="str">
        <x:v>Voolia</x:v>
      </x:c>
      <x:c r="D569" t="str">
        <x:v>Seafood</x:v>
      </x:c>
      <x:c r="E569" t="str">
        <x:v>Backordered</x:v>
      </x:c>
      <x:c r="F569" t="n">
        <x:v>86</x:v>
      </x:c>
      <x:c r="G569" t="n">
        <x:v>55</x:v>
      </x:c>
      <x:c r="H569" s="22" t="n">
        <x:v>860</x:v>
      </x:c>
      <x:c r="I569" t="n">
        <x:v>96</x:v>
      </x:c>
      <x:c r="J569" t="n">
        <x:v>0</x:v>
      </x:c>
    </x:row>
    <x:row r="570" ht="18" customHeight="1">
      <x:c r="A570" t="str">
        <x:v>68-418-6724</x:v>
      </x:c>
      <x:c r="B570" t="str">
        <x:v>Parmesan Cheese</x:v>
      </x:c>
      <x:c r="C570" t="str">
        <x:v>Feedspan</x:v>
      </x:c>
      <x:c r="D570" t="str">
        <x:v>Dairy</x:v>
      </x:c>
      <x:c r="E570" t="str">
        <x:v>Active</x:v>
      </x:c>
      <x:c r="F570" t="n">
        <x:v>63</x:v>
      </x:c>
      <x:c r="G570" t="n">
        <x:v>4</x:v>
      </x:c>
      <x:c r="H570" s="22" t="n">
        <x:v>756</x:v>
      </x:c>
      <x:c r="I570" t="n">
        <x:v>85</x:v>
      </x:c>
      <x:c r="J570" t="n">
        <x:v>0</x:v>
      </x:c>
    </x:row>
    <x:row r="571" ht="18" customHeight="1">
      <x:c r="A571" t="str">
        <x:v>93-813-2419</x:v>
      </x:c>
      <x:c r="B571" t="str">
        <x:v>Digestive Biscuit</x:v>
      </x:c>
      <x:c r="C571" t="str">
        <x:v>Dynabox</x:v>
      </x:c>
      <x:c r="D571" t="str">
        <x:v>Bakery</x:v>
      </x:c>
      <x:c r="E571" t="str">
        <x:v>Active</x:v>
      </x:c>
      <x:c r="F571" t="n">
        <x:v>39</x:v>
      </x:c>
      <x:c r="G571" t="n">
        <x:v>16</x:v>
      </x:c>
      <x:c r="H571" s="22" t="n">
        <x:v>156</x:v>
      </x:c>
      <x:c r="I571" t="n">
        <x:v>57</x:v>
      </x:c>
      <x:c r="J571" t="n">
        <x:v>0</x:v>
      </x:c>
    </x:row>
    <x:row r="572" ht="18" customHeight="1">
      <x:c r="A572" t="str">
        <x:v>52-123-8039</x:v>
      </x:c>
      <x:c r="B572" t="str">
        <x:v>Pomegranate</x:v>
      </x:c>
      <x:c r="C572" t="str">
        <x:v>Browsebug</x:v>
      </x:c>
      <x:c r="D572" t="str">
        <x:v>Fruits &amp; Vegetables</x:v>
      </x:c>
      <x:c r="E572" t="str">
        <x:v>Backordered</x:v>
      </x:c>
      <x:c r="F572" t="n">
        <x:v>43</x:v>
      </x:c>
      <x:c r="G572" t="n">
        <x:v>65</x:v>
      </x:c>
      <x:c r="H572" s="22" t="n">
        <x:v>258</x:v>
      </x:c>
      <x:c r="I572" t="n">
        <x:v>66</x:v>
      </x:c>
      <x:c r="J572" t="n">
        <x:v>66</x:v>
      </x:c>
    </x:row>
    <x:row r="573" ht="18" customHeight="1">
      <x:c r="A573" t="str">
        <x:v>74-666-5671</x:v>
      </x:c>
      <x:c r="B573" t="str">
        <x:v>Tuna</x:v>
      </x:c>
      <x:c r="C573" t="str">
        <x:v>Youspan</x:v>
      </x:c>
      <x:c r="D573" t="str">
        <x:v>Seafood</x:v>
      </x:c>
      <x:c r="E573" t="str">
        <x:v>Backordered</x:v>
      </x:c>
      <x:c r="F573" t="n">
        <x:v>37</x:v>
      </x:c>
      <x:c r="G573" t="n">
        <x:v>33</x:v>
      </x:c>
      <x:c r="H573" s="22" t="n">
        <x:v>666</x:v>
      </x:c>
      <x:c r="I573" t="n">
        <x:v>80</x:v>
      </x:c>
      <x:c r="J573" t="n">
        <x:v>0</x:v>
      </x:c>
    </x:row>
    <x:row r="574" ht="18" customHeight="1">
      <x:c r="A574" t="str">
        <x:v>26-161-6692</x:v>
      </x:c>
      <x:c r="B574" t="str">
        <x:v>Zucchini</x:v>
      </x:c>
      <x:c r="C574" t="str">
        <x:v>Kare</x:v>
      </x:c>
      <x:c r="D574" t="str">
        <x:v>Fruits &amp; Vegetables</x:v>
      </x:c>
      <x:c r="E574" t="str">
        <x:v>Discontinued</x:v>
      </x:c>
      <x:c r="F574" t="n">
        <x:v>61</x:v>
      </x:c>
      <x:c r="G574" t="n">
        <x:v>90</x:v>
      </x:c>
      <x:c r="H574" s="22" t="n">
        <x:v>152.5</x:v>
      </x:c>
      <x:c r="I574" t="n">
        <x:v>26</x:v>
      </x:c>
      <x:c r="J574" t="n">
        <x:v>0</x:v>
      </x:c>
    </x:row>
    <x:row r="575" ht="18" customHeight="1">
      <x:c r="A575" t="str">
        <x:v>44-368-7112</x:v>
      </x:c>
      <x:c r="B575" t="str">
        <x:v>Corn Oil</x:v>
      </x:c>
      <x:c r="C575" t="str">
        <x:v>Devbug</x:v>
      </x:c>
      <x:c r="D575" t="str">
        <x:v>Oils &amp; Fats</x:v>
      </x:c>
      <x:c r="E575" t="str">
        <x:v>Discontinued</x:v>
      </x:c>
      <x:c r="F575" t="n">
        <x:v>28</x:v>
      </x:c>
      <x:c r="G575" t="n">
        <x:v>32</x:v>
      </x:c>
      <x:c r="H575" s="22" t="n">
        <x:v>70</x:v>
      </x:c>
      <x:c r="I575" t="n">
        <x:v>71</x:v>
      </x:c>
      <x:c r="J575" t="n">
        <x:v>0</x:v>
      </x:c>
    </x:row>
    <x:row r="576" ht="18" customHeight="1">
      <x:c r="A576" t="str">
        <x:v>01-820-5784</x:v>
      </x:c>
      <x:c r="B576" t="str">
        <x:v>Egg (Duck)</x:v>
      </x:c>
      <x:c r="C576" t="str">
        <x:v>Skipfire</x:v>
      </x:c>
      <x:c r="D576" t="str">
        <x:v>Dairy</x:v>
      </x:c>
      <x:c r="E576" t="str">
        <x:v>Active</x:v>
      </x:c>
      <x:c r="F576" t="n">
        <x:v>63</x:v>
      </x:c>
      <x:c r="G576" t="n">
        <x:v>38</x:v>
      </x:c>
      <x:c r="H576" s="22" t="n">
        <x:v>63</x:v>
      </x:c>
      <x:c r="I576" t="n">
        <x:v>77</x:v>
      </x:c>
      <x:c r="J576" t="n">
        <x:v>0</x:v>
      </x:c>
    </x:row>
    <x:row r="577" ht="18" customHeight="1">
      <x:c r="A577" t="str">
        <x:v>10-378-9729</x:v>
      </x:c>
      <x:c r="B577" t="str">
        <x:v>Cabbage</x:v>
      </x:c>
      <x:c r="C577" t="str">
        <x:v>Rooxo</x:v>
      </x:c>
      <x:c r="D577" t="str">
        <x:v>Unknown</x:v>
      </x:c>
      <x:c r="E577" t="str">
        <x:v>Discontinued</x:v>
      </x:c>
      <x:c r="F577" t="n">
        <x:v>69</x:v>
      </x:c>
      <x:c r="G577" t="n">
        <x:v>21</x:v>
      </x:c>
      <x:c r="H577" s="22" t="n">
        <x:v>4591.95</x:v>
      </x:c>
      <x:c r="I577" t="n">
        <x:v>68</x:v>
      </x:c>
      <x:c r="J577" t="n">
        <x:v>0</x:v>
      </x:c>
    </x:row>
    <x:row r="578" ht="18" customHeight="1">
      <x:c r="A578" t="str">
        <x:v>39-479-5147</x:v>
      </x:c>
      <x:c r="B578" t="str">
        <x:v>Tuna</x:v>
      </x:c>
      <x:c r="C578" t="str">
        <x:v>Meedoo</x:v>
      </x:c>
      <x:c r="D578" t="str">
        <x:v>Seafood</x:v>
      </x:c>
      <x:c r="E578" t="str">
        <x:v>Discontinued</x:v>
      </x:c>
      <x:c r="F578" t="n">
        <x:v>92</x:v>
      </x:c>
      <x:c r="G578" t="n">
        <x:v>68</x:v>
      </x:c>
      <x:c r="H578" s="22" t="n">
        <x:v>1656</x:v>
      </x:c>
      <x:c r="I578" t="n">
        <x:v>79</x:v>
      </x:c>
      <x:c r="J578" t="n">
        <x:v>0</x:v>
      </x:c>
    </x:row>
    <x:row r="579" ht="18" customHeight="1">
      <x:c r="A579" t="str">
        <x:v>95-262-6208</x:v>
      </x:c>
      <x:c r="B579" t="str">
        <x:v>Black Tea</x:v>
      </x:c>
      <x:c r="C579" t="str">
        <x:v>Devshare</x:v>
      </x:c>
      <x:c r="D579" t="str">
        <x:v>Beverages</x:v>
      </x:c>
      <x:c r="E579" t="str">
        <x:v>Discontinued</x:v>
      </x:c>
      <x:c r="F579" t="n">
        <x:v>19</x:v>
      </x:c>
      <x:c r="G579" t="n">
        <x:v>78</x:v>
      </x:c>
      <x:c r="H579" s="22" t="n">
        <x:v>95</x:v>
      </x:c>
      <x:c r="I579" t="n">
        <x:v>90</x:v>
      </x:c>
      <x:c r="J579" t="n">
        <x:v>0</x:v>
      </x:c>
    </x:row>
    <x:row r="580" ht="18" customHeight="1">
      <x:c r="A580" t="str">
        <x:v>37-248-6266</x:v>
      </x:c>
      <x:c r="B580" t="str">
        <x:v>Pear</x:v>
      </x:c>
      <x:c r="C580" t="str">
        <x:v>Youspan</x:v>
      </x:c>
      <x:c r="D580" t="str">
        <x:v>Fruits &amp; Vegetables</x:v>
      </x:c>
      <x:c r="E580" t="str">
        <x:v>Backordered</x:v>
      </x:c>
      <x:c r="F580" t="n">
        <x:v>84</x:v>
      </x:c>
      <x:c r="G580" t="n">
        <x:v>74</x:v>
      </x:c>
      <x:c r="H580" s="22" t="n">
        <x:v>378</x:v>
      </x:c>
      <x:c r="I580" t="n">
        <x:v>48</x:v>
      </x:c>
      <x:c r="J580" t="n">
        <x:v>0</x:v>
      </x:c>
    </x:row>
    <x:row r="581" ht="18" customHeight="1">
      <x:c r="A581" t="str">
        <x:v>43-851-9440</x:v>
      </x:c>
      <x:c r="B581" t="str">
        <x:v>Lime</x:v>
      </x:c>
      <x:c r="C581" t="str">
        <x:v>Camido</x:v>
      </x:c>
      <x:c r="D581" t="str">
        <x:v>Fruits &amp; Vegetables</x:v>
      </x:c>
      <x:c r="E581" t="str">
        <x:v>Backordered</x:v>
      </x:c>
      <x:c r="F581" t="n">
        <x:v>14</x:v>
      </x:c>
      <x:c r="G581" t="n">
        <x:v>75</x:v>
      </x:c>
      <x:c r="H581" s="22" t="n">
        <x:v>26.6</x:v>
      </x:c>
      <x:c r="I581" t="n">
        <x:v>19</x:v>
      </x:c>
      <x:c r="J581" t="n">
        <x:v>61</x:v>
      </x:c>
    </x:row>
    <x:row r="582" ht="18" customHeight="1">
      <x:c r="A582" t="str">
        <x:v>11-053-0107</x:v>
      </x:c>
      <x:c r="B582" t="str">
        <x:v>Cherry</x:v>
      </x:c>
      <x:c r="C582" t="str">
        <x:v>Rooxo</x:v>
      </x:c>
      <x:c r="D582" t="str">
        <x:v>Fruits &amp; Vegetables</x:v>
      </x:c>
      <x:c r="E582" t="str">
        <x:v>Active</x:v>
      </x:c>
      <x:c r="F582" t="n">
        <x:v>30</x:v>
      </x:c>
      <x:c r="G582" t="n">
        <x:v>25</x:v>
      </x:c>
      <x:c r="H582" s="22" t="n">
        <x:v>240</x:v>
      </x:c>
      <x:c r="I582" t="n">
        <x:v>11</x:v>
      </x:c>
      <x:c r="J582" t="n">
        <x:v>0</x:v>
      </x:c>
    </x:row>
    <x:row r="583" ht="18" customHeight="1">
      <x:c r="A583" t="str">
        <x:v>28-608-0039</x:v>
      </x:c>
      <x:c r="B583" t="str">
        <x:v>Lemon</x:v>
      </x:c>
      <x:c r="C583" t="str">
        <x:v>Avavee</x:v>
      </x:c>
      <x:c r="D583" t="str">
        <x:v>Fruits &amp; Vegetables</x:v>
      </x:c>
      <x:c r="E583" t="str">
        <x:v>Backordered</x:v>
      </x:c>
      <x:c r="F583" t="n">
        <x:v>63</x:v>
      </x:c>
      <x:c r="G583" t="n">
        <x:v>60</x:v>
      </x:c>
      <x:c r="H583" s="22" t="n">
        <x:v>157.5</x:v>
      </x:c>
      <x:c r="I583" t="n">
        <x:v>54</x:v>
      </x:c>
      <x:c r="J583" t="n">
        <x:v>0</x:v>
      </x:c>
    </x:row>
    <x:row r="584" ht="18" customHeight="1">
      <x:c r="A584" t="str">
        <x:v>96-334-2593</x:v>
      </x:c>
      <x:c r="B584" t="str">
        <x:v>White Tea</x:v>
      </x:c>
      <x:c r="C584" t="str">
        <x:v>Rhycero</x:v>
      </x:c>
      <x:c r="D584" t="str">
        <x:v>Beverages</x:v>
      </x:c>
      <x:c r="E584" t="str">
        <x:v>Active</x:v>
      </x:c>
      <x:c r="F584" t="n">
        <x:v>60</x:v>
      </x:c>
      <x:c r="G584" t="n">
        <x:v>27</x:v>
      </x:c>
      <x:c r="H584" s="22" t="n">
        <x:v>1518</x:v>
      </x:c>
      <x:c r="I584" t="n">
        <x:v>58</x:v>
      </x:c>
      <x:c r="J584" t="n">
        <x:v>0</x:v>
      </x:c>
    </x:row>
    <x:row r="585" ht="18" customHeight="1">
      <x:c r="A585" t="str">
        <x:v>73-010-8323</x:v>
      </x:c>
      <x:c r="B585" t="str">
        <x:v>Tuna</x:v>
      </x:c>
      <x:c r="C585" t="str">
        <x:v>Tagcat</x:v>
      </x:c>
      <x:c r="D585" t="str">
        <x:v>Seafood</x:v>
      </x:c>
      <x:c r="E585" t="str">
        <x:v>Backordered</x:v>
      </x:c>
      <x:c r="F585" t="n">
        <x:v>16</x:v>
      </x:c>
      <x:c r="G585" t="n">
        <x:v>34</x:v>
      </x:c>
      <x:c r="H585" s="22" t="n">
        <x:v>288</x:v>
      </x:c>
      <x:c r="I585" t="n">
        <x:v>89</x:v>
      </x:c>
      <x:c r="J585" t="n">
        <x:v>89</x:v>
      </x:c>
    </x:row>
    <x:row r="586" ht="18" customHeight="1">
      <x:c r="A586" t="str">
        <x:v>86-273-9377</x:v>
      </x:c>
      <x:c r="B586" t="str">
        <x:v>White Rice</x:v>
      </x:c>
      <x:c r="C586" t="str">
        <x:v>Eimbee</x:v>
      </x:c>
      <x:c r="D586" t="str">
        <x:v>Grains &amp; Pulses</x:v>
      </x:c>
      <x:c r="E586" t="str">
        <x:v>Discontinued</x:v>
      </x:c>
      <x:c r="F586" t="n">
        <x:v>18</x:v>
      </x:c>
      <x:c r="G586" t="n">
        <x:v>86</x:v>
      </x:c>
      <x:c r="H586" s="22" t="n">
        <x:v>32.4</x:v>
      </x:c>
      <x:c r="I586" t="n">
        <x:v>20</x:v>
      </x:c>
      <x:c r="J586" t="n">
        <x:v>0</x:v>
      </x:c>
    </x:row>
    <x:row r="587" ht="18" customHeight="1">
      <x:c r="A587" t="str">
        <x:v>35-353-4068</x:v>
      </x:c>
      <x:c r="B587" t="str">
        <x:v>Bread Flour</x:v>
      </x:c>
      <x:c r="C587" t="str">
        <x:v>Jetpulse</x:v>
      </x:c>
      <x:c r="D587" t="str">
        <x:v>Grains &amp; Pulses</x:v>
      </x:c>
      <x:c r="E587" t="str">
        <x:v>Discontinued</x:v>
      </x:c>
      <x:c r="F587" t="n">
        <x:v>64</x:v>
      </x:c>
      <x:c r="G587" t="n">
        <x:v>11</x:v>
      </x:c>
      <x:c r="H587" s="22" t="n">
        <x:v>96</x:v>
      </x:c>
      <x:c r="I587" t="n">
        <x:v>97</x:v>
      </x:c>
      <x:c r="J587" t="n">
        <x:v>0</x:v>
      </x:c>
    </x:row>
    <x:row r="588" ht="18" customHeight="1">
      <x:c r="A588" t="str">
        <x:v>02-974-8526</x:v>
      </x:c>
      <x:c r="B588" t="str">
        <x:v>Onion</x:v>
      </x:c>
      <x:c r="C588" t="str">
        <x:v>Mudo</x:v>
      </x:c>
      <x:c r="D588" t="str">
        <x:v>Fruits &amp; Vegetables</x:v>
      </x:c>
      <x:c r="E588" t="str">
        <x:v>Backordered</x:v>
      </x:c>
      <x:c r="F588" t="n">
        <x:v>74</x:v>
      </x:c>
      <x:c r="G588" t="n">
        <x:v>4</x:v>
      </x:c>
      <x:c r="H588" s="22" t="n">
        <x:v>148</x:v>
      </x:c>
      <x:c r="I588" t="n">
        <x:v>39</x:v>
      </x:c>
      <x:c r="J588" t="n">
        <x:v>0</x:v>
      </x:c>
    </x:row>
    <x:row r="589" ht="18" customHeight="1">
      <x:c r="A589" t="str">
        <x:v>95-252-9619</x:v>
      </x:c>
      <x:c r="B589" t="str">
        <x:v>Carrot</x:v>
      </x:c>
      <x:c r="C589" t="str">
        <x:v>Skynoodle</x:v>
      </x:c>
      <x:c r="D589" t="str">
        <x:v>Fruits &amp; Vegetables</x:v>
      </x:c>
      <x:c r="E589" t="str">
        <x:v>Backordered</x:v>
      </x:c>
      <x:c r="F589" t="n">
        <x:v>92</x:v>
      </x:c>
      <x:c r="G589" t="n">
        <x:v>39</x:v>
      </x:c>
      <x:c r="H589" s="22" t="n">
        <x:v>147.2</x:v>
      </x:c>
      <x:c r="I589" t="n">
        <x:v>50</x:v>
      </x:c>
      <x:c r="J589" t="n">
        <x:v>0</x:v>
      </x:c>
    </x:row>
    <x:row r="590" ht="18" customHeight="1">
      <x:c r="A590" t="str">
        <x:v>43-469-7551</x:v>
      </x:c>
      <x:c r="B590" t="str">
        <x:v>Arabica Coffee</x:v>
      </x:c>
      <x:c r="C590" t="str">
        <x:v>Rhycero</x:v>
      </x:c>
      <x:c r="D590" t="str">
        <x:v>Beverages</x:v>
      </x:c>
      <x:c r="E590" t="str">
        <x:v>Active</x:v>
      </x:c>
      <x:c r="F590" t="n">
        <x:v>45</x:v>
      </x:c>
      <x:c r="G590" t="n">
        <x:v>36</x:v>
      </x:c>
      <x:c r="H590" s="22" t="n">
        <x:v>900</x:v>
      </x:c>
      <x:c r="I590" t="n">
        <x:v>97</x:v>
      </x:c>
      <x:c r="J590" t="n">
        <x:v>0</x:v>
      </x:c>
    </x:row>
    <x:row r="591" ht="18" customHeight="1">
      <x:c r="A591" t="str">
        <x:v>08-495-6853</x:v>
      </x:c>
      <x:c r="B591" t="str">
        <x:v>Heavy Cream</x:v>
      </x:c>
      <x:c r="C591" t="str">
        <x:v>Yadel</x:v>
      </x:c>
      <x:c r="D591" t="str">
        <x:v>Dairy</x:v>
      </x:c>
      <x:c r="E591" t="str">
        <x:v>Active</x:v>
      </x:c>
      <x:c r="F591" t="n">
        <x:v>74</x:v>
      </x:c>
      <x:c r="G591" t="n">
        <x:v>62</x:v>
      </x:c>
      <x:c r="H591" s="22" t="n">
        <x:v>296</x:v>
      </x:c>
      <x:c r="I591" t="n">
        <x:v>6</x:v>
      </x:c>
      <x:c r="J591" t="n">
        <x:v>0</x:v>
      </x:c>
    </x:row>
    <x:row r="592" ht="18" customHeight="1">
      <x:c r="A592" t="str">
        <x:v>83-556-0996</x:v>
      </x:c>
      <x:c r="B592" t="str">
        <x:v>Powdered Sugar</x:v>
      </x:c>
      <x:c r="C592" t="str">
        <x:v>Jabberstorm</x:v>
      </x:c>
      <x:c r="D592" t="str">
        <x:v>Grains &amp; Pulses</x:v>
      </x:c>
      <x:c r="E592" t="str">
        <x:v>Active</x:v>
      </x:c>
      <x:c r="F592" t="n">
        <x:v>88</x:v>
      </x:c>
      <x:c r="G592" t="n">
        <x:v>34</x:v>
      </x:c>
      <x:c r="H592" s="22" t="n">
        <x:v>211.2</x:v>
      </x:c>
      <x:c r="I592" t="n">
        <x:v>94</x:v>
      </x:c>
      <x:c r="J592" t="n">
        <x:v>0</x:v>
      </x:c>
    </x:row>
    <x:row r="593" ht="18" customHeight="1">
      <x:c r="A593" t="str">
        <x:v>65-282-0419</x:v>
      </x:c>
      <x:c r="B593" t="str">
        <x:v>White Tea</x:v>
      </x:c>
      <x:c r="C593" t="str">
        <x:v>Feedbug</x:v>
      </x:c>
      <x:c r="D593" t="str">
        <x:v>Beverages</x:v>
      </x:c>
      <x:c r="E593" t="str">
        <x:v>Active</x:v>
      </x:c>
      <x:c r="F593" t="n">
        <x:v>50</x:v>
      </x:c>
      <x:c r="G593" t="n">
        <x:v>100</x:v>
      </x:c>
      <x:c r="H593" s="22" t="n">
        <x:v>1275</x:v>
      </x:c>
      <x:c r="I593" t="n">
        <x:v>91</x:v>
      </x:c>
      <x:c r="J593" t="n">
        <x:v>91</x:v>
      </x:c>
    </x:row>
    <x:row r="594" ht="18" customHeight="1">
      <x:c r="A594" t="str">
        <x:v>95-449-1286</x:v>
      </x:c>
      <x:c r="B594" t="str">
        <x:v>Egg (Chicken)</x:v>
      </x:c>
      <x:c r="C594" t="str">
        <x:v>Realfire</x:v>
      </x:c>
      <x:c r="D594" t="str">
        <x:v>Dairy</x:v>
      </x:c>
      <x:c r="E594" t="str">
        <x:v>Backordered</x:v>
      </x:c>
      <x:c r="F594" t="n">
        <x:v>10</x:v>
      </x:c>
      <x:c r="G594" t="n">
        <x:v>17</x:v>
      </x:c>
      <x:c r="H594" s="22" t="n">
        <x:v>2</x:v>
      </x:c>
      <x:c r="I594" t="n">
        <x:v>70</x:v>
      </x:c>
      <x:c r="J594" t="n">
        <x:v>70</x:v>
      </x:c>
    </x:row>
    <x:row r="595" ht="18" customHeight="1">
      <x:c r="A595" t="str">
        <x:v>00-534-9775</x:v>
      </x:c>
      <x:c r="B595" t="str">
        <x:v>Black Coffee</x:v>
      </x:c>
      <x:c r="C595" t="str">
        <x:v>Tagpad</x:v>
      </x:c>
      <x:c r="D595" t="str">
        <x:v>Beverages</x:v>
      </x:c>
      <x:c r="E595" t="str">
        <x:v>Backordered</x:v>
      </x:c>
      <x:c r="F595" t="n">
        <x:v>87</x:v>
      </x:c>
      <x:c r="G595" t="n">
        <x:v>91</x:v>
      </x:c>
      <x:c r="H595" s="22" t="n">
        <x:v>1296.3</x:v>
      </x:c>
      <x:c r="I595" t="n">
        <x:v>23</x:v>
      </x:c>
      <x:c r="J595" t="n">
        <x:v>23</x:v>
      </x:c>
    </x:row>
    <x:row r="596" ht="18" customHeight="1">
      <x:c r="A596" t="str">
        <x:v>09-618-2842</x:v>
      </x:c>
      <x:c r="B596" t="str">
        <x:v>White Sugar</x:v>
      </x:c>
      <x:c r="C596" t="str">
        <x:v>Yambee</x:v>
      </x:c>
      <x:c r="D596" t="str">
        <x:v>Grains &amp; Pulses</x:v>
      </x:c>
      <x:c r="E596" t="str">
        <x:v>Discontinued</x:v>
      </x:c>
      <x:c r="F596" t="n">
        <x:v>38</x:v>
      </x:c>
      <x:c r="G596" t="n">
        <x:v>82</x:v>
      </x:c>
      <x:c r="H596" s="22" t="n">
        <x:v>76</x:v>
      </x:c>
      <x:c r="I596" t="n">
        <x:v>17</x:v>
      </x:c>
      <x:c r="J596" t="n">
        <x:v>0</x:v>
      </x:c>
    </x:row>
    <x:row r="597" ht="18" customHeight="1">
      <x:c r="A597" t="str">
        <x:v>74-610-2295</x:v>
      </x:c>
      <x:c r="B597" t="str">
        <x:v>Green Coffee</x:v>
      </x:c>
      <x:c r="C597" t="str">
        <x:v>Lajo</x:v>
      </x:c>
      <x:c r="D597" t="str">
        <x:v>Beverages</x:v>
      </x:c>
      <x:c r="E597" t="str">
        <x:v>Active</x:v>
      </x:c>
      <x:c r="F597" t="n">
        <x:v>61</x:v>
      </x:c>
      <x:c r="G597" t="n">
        <x:v>31</x:v>
      </x:c>
      <x:c r="H597" s="22" t="n">
        <x:v>762.5</x:v>
      </x:c>
      <x:c r="I597" t="n">
        <x:v>100</x:v>
      </x:c>
      <x:c r="J597" t="n">
        <x:v>0</x:v>
      </x:c>
    </x:row>
    <x:row r="598" ht="18" customHeight="1">
      <x:c r="A598" t="str">
        <x:v>17-265-1899</x:v>
      </x:c>
      <x:c r="B598" t="str">
        <x:v>Orange</x:v>
      </x:c>
      <x:c r="C598" t="str">
        <x:v>Demimbu</x:v>
      </x:c>
      <x:c r="D598" t="str">
        <x:v>Fruits &amp; Vegetables</x:v>
      </x:c>
      <x:c r="E598" t="str">
        <x:v>Backordered</x:v>
      </x:c>
      <x:c r="F598" t="n">
        <x:v>81</x:v>
      </x:c>
      <x:c r="G598" t="n">
        <x:v>35</x:v>
      </x:c>
      <x:c r="H598" s="22" t="n">
        <x:v>243</x:v>
      </x:c>
      <x:c r="I598" t="n">
        <x:v>82</x:v>
      </x:c>
      <x:c r="J598" t="n">
        <x:v>0</x:v>
      </x:c>
    </x:row>
    <x:row r="599" ht="18" customHeight="1">
      <x:c r="A599" t="str">
        <x:v>06-336-5482</x:v>
      </x:c>
      <x:c r="B599" t="str">
        <x:v>Sardines</x:v>
      </x:c>
      <x:c r="C599" t="str">
        <x:v>Voolia</x:v>
      </x:c>
      <x:c r="D599" t="str">
        <x:v>Seafood</x:v>
      </x:c>
      <x:c r="E599" t="str">
        <x:v>Discontinued</x:v>
      </x:c>
      <x:c r="F599" t="n">
        <x:v>89</x:v>
      </x:c>
      <x:c r="G599" t="n">
        <x:v>34</x:v>
      </x:c>
      <x:c r="H599" s="22" t="n">
        <x:v>534</x:v>
      </x:c>
      <x:c r="I599" t="n">
        <x:v>15</x:v>
      </x:c>
      <x:c r="J599" t="n">
        <x:v>0</x:v>
      </x:c>
    </x:row>
    <x:row r="600" ht="18" customHeight="1">
      <x:c r="A600" t="str">
        <x:v>20-283-0111</x:v>
      </x:c>
      <x:c r="B600" t="str">
        <x:v>Pear</x:v>
      </x:c>
      <x:c r="C600" t="str">
        <x:v>Cogidoo</x:v>
      </x:c>
      <x:c r="D600" t="str">
        <x:v>Fruits &amp; Vegetables</x:v>
      </x:c>
      <x:c r="E600" t="str">
        <x:v>Active</x:v>
      </x:c>
      <x:c r="F600" t="n">
        <x:v>58</x:v>
      </x:c>
      <x:c r="G600" t="n">
        <x:v>55</x:v>
      </x:c>
      <x:c r="H600" s="22" t="n">
        <x:v>258.1</x:v>
      </x:c>
      <x:c r="I600" t="n">
        <x:v>5</x:v>
      </x:c>
      <x:c r="J600" t="n">
        <x:v>0</x:v>
      </x:c>
    </x:row>
    <x:row r="601" ht="18" customHeight="1">
      <x:c r="A601" t="str">
        <x:v>77-937-1108</x:v>
      </x:c>
      <x:c r="B601" t="str">
        <x:v>White Sugar</x:v>
      </x:c>
      <x:c r="C601" t="str">
        <x:v>Twimm</x:v>
      </x:c>
      <x:c r="D601" t="str">
        <x:v>Grains &amp; Pulses</x:v>
      </x:c>
      <x:c r="E601" t="str">
        <x:v>Active</x:v>
      </x:c>
      <x:c r="F601" t="n">
        <x:v>39</x:v>
      </x:c>
      <x:c r="G601" t="n">
        <x:v>83</x:v>
      </x:c>
      <x:c r="H601" s="22" t="n">
        <x:v>78</x:v>
      </x:c>
      <x:c r="I601" t="n">
        <x:v>21</x:v>
      </x:c>
      <x:c r="J601" t="n">
        <x:v>44</x:v>
      </x:c>
    </x:row>
    <x:row r="602" ht="18" customHeight="1">
      <x:c r="A602" t="str">
        <x:v>07-337-9889</x:v>
      </x:c>
      <x:c r="B602" t="str">
        <x:v>Cauliflower</x:v>
      </x:c>
      <x:c r="C602" t="str">
        <x:v>Twitterwire</x:v>
      </x:c>
      <x:c r="D602" t="str">
        <x:v>Fruits &amp; Vegetables</x:v>
      </x:c>
      <x:c r="E602" t="str">
        <x:v>Active</x:v>
      </x:c>
      <x:c r="F602" t="n">
        <x:v>95</x:v>
      </x:c>
      <x:c r="G602" t="n">
        <x:v>6</x:v>
      </x:c>
      <x:c r="H602" s="22" t="n">
        <x:v>237.5</x:v>
      </x:c>
      <x:c r="I602" t="n">
        <x:v>59</x:v>
      </x:c>
      <x:c r="J602" t="n">
        <x:v>0</x:v>
      </x:c>
    </x:row>
    <x:row r="603" ht="18" customHeight="1">
      <x:c r="A603" t="str">
        <x:v>81-578-7404</x:v>
      </x:c>
      <x:c r="B603" t="str">
        <x:v>Gouda Cheese</x:v>
      </x:c>
      <x:c r="C603" t="str">
        <x:v>Rhyloo</x:v>
      </x:c>
      <x:c r="D603" t="str">
        <x:v>Dairy</x:v>
      </x:c>
      <x:c r="E603" t="str">
        <x:v>Active</x:v>
      </x:c>
      <x:c r="F603" t="n">
        <x:v>67</x:v>
      </x:c>
      <x:c r="G603" t="n">
        <x:v>79</x:v>
      </x:c>
      <x:c r="H603" s="22" t="n">
        <x:v>469</x:v>
      </x:c>
      <x:c r="I603" t="n">
        <x:v>98</x:v>
      </x:c>
      <x:c r="J603" t="n">
        <x:v>98</x:v>
      </x:c>
    </x:row>
    <x:row r="604" ht="18" customHeight="1">
      <x:c r="A604" t="str">
        <x:v>90-303-1821</x:v>
      </x:c>
      <x:c r="B604" t="str">
        <x:v>Onion</x:v>
      </x:c>
      <x:c r="C604" t="str">
        <x:v>Edgewire</x:v>
      </x:c>
      <x:c r="D604" t="str">
        <x:v>Fruits &amp; Vegetables</x:v>
      </x:c>
      <x:c r="E604" t="str">
        <x:v>Backordered</x:v>
      </x:c>
      <x:c r="F604" t="n">
        <x:v>50</x:v>
      </x:c>
      <x:c r="G604" t="n">
        <x:v>20</x:v>
      </x:c>
      <x:c r="H604" s="22" t="n">
        <x:v>100</x:v>
      </x:c>
      <x:c r="I604" t="n">
        <x:v>74</x:v>
      </x:c>
      <x:c r="J604" t="n">
        <x:v>0</x:v>
      </x:c>
    </x:row>
    <x:row r="605" ht="18" customHeight="1">
      <x:c r="A605" t="str">
        <x:v>42-495-7698</x:v>
      </x:c>
      <x:c r="B605" t="str">
        <x:v>Sushi Rice</x:v>
      </x:c>
      <x:c r="C605" t="str">
        <x:v>Latz</x:v>
      </x:c>
      <x:c r="D605" t="str">
        <x:v>Grains &amp; Pulses</x:v>
      </x:c>
      <x:c r="E605" t="str">
        <x:v>Backordered</x:v>
      </x:c>
      <x:c r="F605" t="n">
        <x:v>10</x:v>
      </x:c>
      <x:c r="G605" t="n">
        <x:v>11</x:v>
      </x:c>
      <x:c r="H605" s="22" t="n">
        <x:v>43</x:v>
      </x:c>
      <x:c r="I605" t="n">
        <x:v>29</x:v>
      </x:c>
      <x:c r="J605" t="n">
        <x:v>29</x:v>
      </x:c>
    </x:row>
    <x:row r="606" ht="18" customHeight="1">
      <x:c r="A606" t="str">
        <x:v>57-101-0060</x:v>
      </x:c>
      <x:c r="B606" t="str">
        <x:v>Whole Wheat Flour</x:v>
      </x:c>
      <x:c r="C606" t="str">
        <x:v>Topicstorm</x:v>
      </x:c>
      <x:c r="D606" t="str">
        <x:v>Grains &amp; Pulses</x:v>
      </x:c>
      <x:c r="E606" t="str">
        <x:v>Backordered</x:v>
      </x:c>
      <x:c r="F606" t="n">
        <x:v>59</x:v>
      </x:c>
      <x:c r="G606" t="n">
        <x:v>73</x:v>
      </x:c>
      <x:c r="H606" s="22" t="n">
        <x:v>162.25</x:v>
      </x:c>
      <x:c r="I606" t="n">
        <x:v>86</x:v>
      </x:c>
      <x:c r="J606" t="n">
        <x:v>86</x:v>
      </x:c>
    </x:row>
    <x:row r="607" ht="18" customHeight="1">
      <x:c r="A607" t="str">
        <x:v>99-561-4871</x:v>
      </x:c>
      <x:c r="B607" t="str">
        <x:v>Haddock</x:v>
      </x:c>
      <x:c r="C607" t="str">
        <x:v>Buzzdog</x:v>
      </x:c>
      <x:c r="D607" t="str">
        <x:v>Seafood</x:v>
      </x:c>
      <x:c r="E607" t="str">
        <x:v>Active</x:v>
      </x:c>
      <x:c r="F607" t="n">
        <x:v>17</x:v>
      </x:c>
      <x:c r="G607" t="n">
        <x:v>38</x:v>
      </x:c>
      <x:c r="H607" s="22" t="n">
        <x:v>153</x:v>
      </x:c>
      <x:c r="I607" t="n">
        <x:v>93</x:v>
      </x:c>
      <x:c r="J607" t="n">
        <x:v>93</x:v>
      </x:c>
    </x:row>
    <x:row r="608" ht="18" customHeight="1">
      <x:c r="A608" t="str">
        <x:v>40-126-0515</x:v>
      </x:c>
      <x:c r="B608" t="str">
        <x:v>Carrot</x:v>
      </x:c>
      <x:c r="C608" t="str">
        <x:v>Gigashots</x:v>
      </x:c>
      <x:c r="D608" t="str">
        <x:v>Fruits &amp; Vegetables</x:v>
      </x:c>
      <x:c r="E608" t="str">
        <x:v>Active</x:v>
      </x:c>
      <x:c r="F608" t="n">
        <x:v>74</x:v>
      </x:c>
      <x:c r="G608" t="n">
        <x:v>37</x:v>
      </x:c>
      <x:c r="H608" s="22" t="n">
        <x:v>111</x:v>
      </x:c>
      <x:c r="I608" t="n">
        <x:v>57</x:v>
      </x:c>
      <x:c r="J608" t="n">
        <x:v>0</x:v>
      </x:c>
    </x:row>
    <x:row r="609" ht="18" customHeight="1">
      <x:c r="A609" t="str">
        <x:v>19-377-5021</x:v>
      </x:c>
      <x:c r="B609" t="str">
        <x:v>Mackerel</x:v>
      </x:c>
      <x:c r="C609" t="str">
        <x:v>Skynoodle</x:v>
      </x:c>
      <x:c r="D609" t="str">
        <x:v>Seafood</x:v>
      </x:c>
      <x:c r="E609" t="str">
        <x:v>Backordered</x:v>
      </x:c>
      <x:c r="F609" t="n">
        <x:v>91</x:v>
      </x:c>
      <x:c r="G609" t="n">
        <x:v>96</x:v>
      </x:c>
      <x:c r="H609" s="22" t="n">
        <x:v>682.5</x:v>
      </x:c>
      <x:c r="I609" t="n">
        <x:v>90</x:v>
      </x:c>
      <x:c r="J609" t="n">
        <x:v>90</x:v>
      </x:c>
    </x:row>
    <x:row r="610" ht="18" customHeight="1">
      <x:c r="A610" t="str">
        <x:v>60-644-6596</x:v>
      </x:c>
      <x:c r="B610" t="str">
        <x:v>Trout</x:v>
      </x:c>
      <x:c r="C610" t="str">
        <x:v>Rhynoodle</x:v>
      </x:c>
      <x:c r="D610" t="str">
        <x:v>Seafood</x:v>
      </x:c>
      <x:c r="E610" t="str">
        <x:v>Discontinued</x:v>
      </x:c>
      <x:c r="F610" t="n">
        <x:v>89</x:v>
      </x:c>
      <x:c r="G610" t="n">
        <x:v>67</x:v>
      </x:c>
      <x:c r="H610" s="22" t="n">
        <x:v>1068</x:v>
      </x:c>
      <x:c r="I610" t="n">
        <x:v>89</x:v>
      </x:c>
      <x:c r="J610" t="n">
        <x:v>0</x:v>
      </x:c>
    </x:row>
    <x:row r="611" ht="18" customHeight="1">
      <x:c r="A611" t="str">
        <x:v>82-711-0772</x:v>
      </x:c>
      <x:c r="B611" t="str">
        <x:v>Egg (Goose)</x:v>
      </x:c>
      <x:c r="C611" t="str">
        <x:v>Skyble</x:v>
      </x:c>
      <x:c r="D611" t="str">
        <x:v>Dairy</x:v>
      </x:c>
      <x:c r="E611" t="str">
        <x:v>Active</x:v>
      </x:c>
      <x:c r="F611" t="n">
        <x:v>72</x:v>
      </x:c>
      <x:c r="G611" t="n">
        <x:v>58</x:v>
      </x:c>
      <x:c r="H611" s="22" t="n">
        <x:v>172.8</x:v>
      </x:c>
      <x:c r="I611" t="n">
        <x:v>52</x:v>
      </x:c>
      <x:c r="J611" t="n">
        <x:v>0</x:v>
      </x:c>
    </x:row>
    <x:row r="612" ht="18" customHeight="1">
      <x:c r="A612" t="str">
        <x:v>55-803-3964</x:v>
      </x:c>
      <x:c r="B612" t="str">
        <x:v>Bread Flour</x:v>
      </x:c>
      <x:c r="C612" t="str">
        <x:v>Demizz</x:v>
      </x:c>
      <x:c r="D612" t="str">
        <x:v>Grains &amp; Pulses</x:v>
      </x:c>
      <x:c r="E612" t="str">
        <x:v>Backordered</x:v>
      </x:c>
      <x:c r="F612" t="n">
        <x:v>25</x:v>
      </x:c>
      <x:c r="G612" t="n">
        <x:v>60</x:v>
      </x:c>
      <x:c r="H612" s="22" t="n">
        <x:v>37.5</x:v>
      </x:c>
      <x:c r="I612" t="n">
        <x:v>36</x:v>
      </x:c>
      <x:c r="J612" t="n">
        <x:v>36</x:v>
      </x:c>
    </x:row>
    <x:row r="613" ht="18" customHeight="1">
      <x:c r="A613" t="str">
        <x:v>00-119-8780</x:v>
      </x:c>
      <x:c r="B613" t="str">
        <x:v>Halibut</x:v>
      </x:c>
      <x:c r="C613" t="str">
        <x:v>Jaxspan</x:v>
      </x:c>
      <x:c r="D613" t="str">
        <x:v>Seafood</x:v>
      </x:c>
      <x:c r="E613" t="str">
        <x:v>Backordered</x:v>
      </x:c>
      <x:c r="F613" t="n">
        <x:v>40</x:v>
      </x:c>
      <x:c r="G613" t="n">
        <x:v>81</x:v>
      </x:c>
      <x:c r="H613" s="22" t="n">
        <x:v>800</x:v>
      </x:c>
      <x:c r="I613" t="n">
        <x:v>78</x:v>
      </x:c>
      <x:c r="J613" t="n">
        <x:v>78</x:v>
      </x:c>
    </x:row>
    <x:row r="614" ht="18" customHeight="1">
      <x:c r="A614" t="str">
        <x:v>13-888-0149</x:v>
      </x:c>
      <x:c r="B614" t="str">
        <x:v>Lime</x:v>
      </x:c>
      <x:c r="C614" t="str">
        <x:v>Shufflebeat</x:v>
      </x:c>
      <x:c r="D614" t="str">
        <x:v>Fruits &amp; Vegetables</x:v>
      </x:c>
      <x:c r="E614" t="str">
        <x:v>Active</x:v>
      </x:c>
      <x:c r="F614" t="n">
        <x:v>75</x:v>
      </x:c>
      <x:c r="G614" t="n">
        <x:v>18</x:v>
      </x:c>
      <x:c r="H614" s="22" t="n">
        <x:v>150</x:v>
      </x:c>
      <x:c r="I614" t="n">
        <x:v>65</x:v>
      </x:c>
      <x:c r="J614" t="n">
        <x:v>0</x:v>
      </x:c>
    </x:row>
    <x:row r="615" ht="18" customHeight="1">
      <x:c r="A615" t="str">
        <x:v>51-273-4240</x:v>
      </x:c>
      <x:c r="B615" t="str">
        <x:v>Multigrain Bread</x:v>
      </x:c>
      <x:c r="C615" t="str">
        <x:v>Devpulse</x:v>
      </x:c>
      <x:c r="D615" t="str">
        <x:v>Bakery</x:v>
      </x:c>
      <x:c r="E615" t="str">
        <x:v>Discontinued</x:v>
      </x:c>
      <x:c r="F615" t="n">
        <x:v>85</x:v>
      </x:c>
      <x:c r="G615" t="n">
        <x:v>57</x:v>
      </x:c>
      <x:c r="H615" s="22" t="n">
        <x:v>297.5</x:v>
      </x:c>
      <x:c r="I615" t="n">
        <x:v>25</x:v>
      </x:c>
      <x:c r="J615" t="n">
        <x:v>0</x:v>
      </x:c>
    </x:row>
    <x:row r="616" ht="18" customHeight="1">
      <x:c r="A616" t="str">
        <x:v>23-395-3157</x:v>
      </x:c>
      <x:c r="B616" t="str">
        <x:v>Vegetable Oil</x:v>
      </x:c>
      <x:c r="C616" t="str">
        <x:v>Tagtune</x:v>
      </x:c>
      <x:c r="D616" t="str">
        <x:v>Oils &amp; Fats</x:v>
      </x:c>
      <x:c r="E616" t="str">
        <x:v>Backordered</x:v>
      </x:c>
      <x:c r="F616" t="n">
        <x:v>41</x:v>
      </x:c>
      <x:c r="G616" t="n">
        <x:v>66</x:v>
      </x:c>
      <x:c r="H616" s="22" t="n">
        <x:v>82</x:v>
      </x:c>
      <x:c r="I616" t="n">
        <x:v>50</x:v>
      </x:c>
      <x:c r="J616" t="n">
        <x:v>50</x:v>
      </x:c>
    </x:row>
    <x:row r="617" ht="18" customHeight="1">
      <x:c r="A617" t="str">
        <x:v>03-149-9760</x:v>
      </x:c>
      <x:c r="B617" t="str">
        <x:v>Whipped Cream</x:v>
      </x:c>
      <x:c r="C617" t="str">
        <x:v>Yotz</x:v>
      </x:c>
      <x:c r="D617" t="str">
        <x:v>Dairy</x:v>
      </x:c>
      <x:c r="E617" t="str">
        <x:v>Discontinued</x:v>
      </x:c>
      <x:c r="F617" t="n">
        <x:v>92</x:v>
      </x:c>
      <x:c r="G617" t="n">
        <x:v>99</x:v>
      </x:c>
      <x:c r="H617" s="22" t="n">
        <x:v>368</x:v>
      </x:c>
      <x:c r="I617" t="n">
        <x:v>93</x:v>
      </x:c>
      <x:c r="J617" t="n">
        <x:v>0</x:v>
      </x:c>
    </x:row>
    <x:row r="618" ht="18" customHeight="1">
      <x:c r="A618" t="str">
        <x:v>02-895-7781</x:v>
      </x:c>
      <x:c r="B618" t="str">
        <x:v>Coconut Sugar</x:v>
      </x:c>
      <x:c r="C618" t="str">
        <x:v>Tagchat</x:v>
      </x:c>
      <x:c r="D618" t="str">
        <x:v>Grains &amp; Pulses</x:v>
      </x:c>
      <x:c r="E618" t="str">
        <x:v>Discontinued</x:v>
      </x:c>
      <x:c r="F618" t="n">
        <x:v>51</x:v>
      </x:c>
      <x:c r="G618" t="n">
        <x:v>55</x:v>
      </x:c>
      <x:c r="H618" s="22" t="n">
        <x:v>255</x:v>
      </x:c>
      <x:c r="I618" t="n">
        <x:v>76</x:v>
      </x:c>
      <x:c r="J618" t="n">
        <x:v>0</x:v>
      </x:c>
    </x:row>
    <x:row r="619" ht="18" customHeight="1">
      <x:c r="A619" t="str">
        <x:v>95-354-8583</x:v>
      </x:c>
      <x:c r="B619" t="str">
        <x:v>Long Grain Rice</x:v>
      </x:c>
      <x:c r="C619" t="str">
        <x:v>Meevee</x:v>
      </x:c>
      <x:c r="D619" t="str">
        <x:v>Grains &amp; Pulses</x:v>
      </x:c>
      <x:c r="E619" t="str">
        <x:v>Active</x:v>
      </x:c>
      <x:c r="F619" t="n">
        <x:v>98</x:v>
      </x:c>
      <x:c r="G619" t="n">
        <x:v>40</x:v>
      </x:c>
      <x:c r="H619" s="22" t="n">
        <x:v>147</x:v>
      </x:c>
      <x:c r="I619" t="n">
        <x:v>93</x:v>
      </x:c>
      <x:c r="J619" t="n">
        <x:v>0</x:v>
      </x:c>
    </x:row>
    <x:row r="620" ht="18" customHeight="1">
      <x:c r="A620" t="str">
        <x:v>27-681-5588</x:v>
      </x:c>
      <x:c r="B620" t="str">
        <x:v>Anchovies</x:v>
      </x:c>
      <x:c r="C620" t="str">
        <x:v>Flipopia</x:v>
      </x:c>
      <x:c r="D620" t="str">
        <x:v>Seafood</x:v>
      </x:c>
      <x:c r="E620" t="str">
        <x:v>Discontinued</x:v>
      </x:c>
      <x:c r="F620" t="n">
        <x:v>100</x:v>
      </x:c>
      <x:c r="G620" t="n">
        <x:v>99</x:v>
      </x:c>
      <x:c r="H620" s="22" t="n">
        <x:v>1000</x:v>
      </x:c>
      <x:c r="I620" t="n">
        <x:v>8</x:v>
      </x:c>
      <x:c r="J620" t="n">
        <x:v>0</x:v>
      </x:c>
    </x:row>
    <x:row r="621" ht="18" customHeight="1">
      <x:c r="A621" t="str">
        <x:v>70-534-7796</x:v>
      </x:c>
      <x:c r="B621" t="str">
        <x:v>Zucchini</x:v>
      </x:c>
      <x:c r="C621" t="str">
        <x:v>Babblestorm</x:v>
      </x:c>
      <x:c r="D621" t="str">
        <x:v>Fruits &amp; Vegetables</x:v>
      </x:c>
      <x:c r="E621" t="str">
        <x:v>Backordered</x:v>
      </x:c>
      <x:c r="F621" t="n">
        <x:v>43</x:v>
      </x:c>
      <x:c r="G621" t="n">
        <x:v>21</x:v>
      </x:c>
      <x:c r="H621" s="22" t="n">
        <x:v>107.5</x:v>
      </x:c>
      <x:c r="I621" t="n">
        <x:v>31</x:v>
      </x:c>
      <x:c r="J621" t="n">
        <x:v>0</x:v>
      </x:c>
    </x:row>
    <x:row r="622" ht="18" customHeight="1">
      <x:c r="A622" t="str">
        <x:v>72-066-4597</x:v>
      </x:c>
      <x:c r="B622" t="str">
        <x:v>Broccoli</x:v>
      </x:c>
      <x:c r="C622" t="str">
        <x:v>Zoovu</x:v>
      </x:c>
      <x:c r="D622" t="str">
        <x:v>Fruits &amp; Vegetables</x:v>
      </x:c>
      <x:c r="E622" t="str">
        <x:v>Active</x:v>
      </x:c>
      <x:c r="F622" t="n">
        <x:v>31</x:v>
      </x:c>
      <x:c r="G622" t="n">
        <x:v>54</x:v>
      </x:c>
      <x:c r="H622" s="22" t="n">
        <x:v>124</x:v>
      </x:c>
      <x:c r="I622" t="n">
        <x:v>52</x:v>
      </x:c>
      <x:c r="J622" t="n">
        <x:v>52</x:v>
      </x:c>
    </x:row>
    <x:row r="623" ht="18" customHeight="1">
      <x:c r="A623" t="str">
        <x:v>79-884-8810</x:v>
      </x:c>
      <x:c r="B623" t="str">
        <x:v>Cucumber</x:v>
      </x:c>
      <x:c r="C623" t="str">
        <x:v>Dabtype</x:v>
      </x:c>
      <x:c r="D623" t="str">
        <x:v>Fruits &amp; Vegetables</x:v>
      </x:c>
      <x:c r="E623" t="str">
        <x:v>Backordered</x:v>
      </x:c>
      <x:c r="F623" t="n">
        <x:v>12</x:v>
      </x:c>
      <x:c r="G623" t="n">
        <x:v>93</x:v>
      </x:c>
      <x:c r="H623" s="22" t="n">
        <x:v>21</x:v>
      </x:c>
      <x:c r="I623" t="n">
        <x:v>29</x:v>
      </x:c>
      <x:c r="J623" t="n">
        <x:v>81</x:v>
      </x:c>
    </x:row>
    <x:row r="624" ht="18" customHeight="1">
      <x:c r="A624" t="str">
        <x:v>08-703-1382</x:v>
      </x:c>
      <x:c r="B624" t="str">
        <x:v>Peach</x:v>
      </x:c>
      <x:c r="C624" t="str">
        <x:v>Wikizz</x:v>
      </x:c>
      <x:c r="D624" t="str">
        <x:v>Fruits &amp; Vegetables</x:v>
      </x:c>
      <x:c r="E624" t="str">
        <x:v>Backordered</x:v>
      </x:c>
      <x:c r="F624" t="n">
        <x:v>40</x:v>
      </x:c>
      <x:c r="G624" t="n">
        <x:v>53</x:v>
      </x:c>
      <x:c r="H624" s="22" t="n">
        <x:v>160</x:v>
      </x:c>
      <x:c r="I624" t="n">
        <x:v>7</x:v>
      </x:c>
      <x:c r="J624" t="n">
        <x:v>13</x:v>
      </x:c>
    </x:row>
    <x:row r="625" ht="18" customHeight="1">
      <x:c r="A625" t="str">
        <x:v>39-315-3936</x:v>
      </x:c>
      <x:c r="B625" t="str">
        <x:v>Heavy Cream</x:v>
      </x:c>
      <x:c r="C625" t="str">
        <x:v>Yata</x:v>
      </x:c>
      <x:c r="D625" t="str">
        <x:v>Dairy</x:v>
      </x:c>
      <x:c r="E625" t="str">
        <x:v>Backordered</x:v>
      </x:c>
      <x:c r="F625" t="n">
        <x:v>57</x:v>
      </x:c>
      <x:c r="G625" t="n">
        <x:v>62</x:v>
      </x:c>
      <x:c r="H625" s="22" t="n">
        <x:v>228</x:v>
      </x:c>
      <x:c r="I625" t="n">
        <x:v>72</x:v>
      </x:c>
      <x:c r="J625" t="n">
        <x:v>72</x:v>
      </x:c>
    </x:row>
    <x:row r="626" ht="18" customHeight="1">
      <x:c r="A626" t="str">
        <x:v>06-690-2335</x:v>
      </x:c>
      <x:c r="B626" t="str">
        <x:v>Jasmine Rice</x:v>
      </x:c>
      <x:c r="C626" t="str">
        <x:v>Jabbertype</x:v>
      </x:c>
      <x:c r="D626" t="str">
        <x:v>Grains &amp; Pulses</x:v>
      </x:c>
      <x:c r="E626" t="str">
        <x:v>Discontinued</x:v>
      </x:c>
      <x:c r="F626" t="n">
        <x:v>24</x:v>
      </x:c>
      <x:c r="G626" t="n">
        <x:v>15</x:v>
      </x:c>
      <x:c r="H626" s="22" t="n">
        <x:v>114</x:v>
      </x:c>
      <x:c r="I626" t="n">
        <x:v>6</x:v>
      </x:c>
      <x:c r="J626" t="n">
        <x:v>0</x:v>
      </x:c>
    </x:row>
    <x:row r="627" ht="18" customHeight="1">
      <x:c r="A627" t="str">
        <x:v>43-153-8268</x:v>
      </x:c>
      <x:c r="B627" t="str">
        <x:v>Vegetable Oil</x:v>
      </x:c>
      <x:c r="C627" t="str">
        <x:v>Abata</x:v>
      </x:c>
      <x:c r="D627" t="str">
        <x:v>Oils &amp; Fats</x:v>
      </x:c>
      <x:c r="E627" t="str">
        <x:v>Backordered</x:v>
      </x:c>
      <x:c r="F627" t="n">
        <x:v>75</x:v>
      </x:c>
      <x:c r="G627" t="n">
        <x:v>61</x:v>
      </x:c>
      <x:c r="H627" s="22" t="n">
        <x:v>150</x:v>
      </x:c>
      <x:c r="I627" t="n">
        <x:v>19</x:v>
      </x:c>
      <x:c r="J627" t="n">
        <x:v>0</x:v>
      </x:c>
    </x:row>
    <x:row r="628" ht="18" customHeight="1">
      <x:c r="A628" t="str">
        <x:v>44-634-8292</x:v>
      </x:c>
      <x:c r="B628" t="str">
        <x:v>Whole Wheat Flour</x:v>
      </x:c>
      <x:c r="C628" t="str">
        <x:v>Quatz</x:v>
      </x:c>
      <x:c r="D628" t="str">
        <x:v>Grains &amp; Pulses</x:v>
      </x:c>
      <x:c r="E628" t="str">
        <x:v>Active</x:v>
      </x:c>
      <x:c r="F628" t="n">
        <x:v>60</x:v>
      </x:c>
      <x:c r="G628" t="n">
        <x:v>69</x:v>
      </x:c>
      <x:c r="H628" s="22" t="n">
        <x:v>165</x:v>
      </x:c>
      <x:c r="I628" t="n">
        <x:v>64</x:v>
      </x:c>
      <x:c r="J628" t="n">
        <x:v>64</x:v>
      </x:c>
    </x:row>
    <x:row r="629" ht="18" customHeight="1">
      <x:c r="A629" t="str">
        <x:v>96-774-0457</x:v>
      </x:c>
      <x:c r="B629" t="str">
        <x:v>Cod</x:v>
      </x:c>
      <x:c r="C629" t="str">
        <x:v>Izio</x:v>
      </x:c>
      <x:c r="D629" t="str">
        <x:v>Seafood</x:v>
      </x:c>
      <x:c r="E629" t="str">
        <x:v>Discontinued</x:v>
      </x:c>
      <x:c r="F629" t="n">
        <x:v>56</x:v>
      </x:c>
      <x:c r="G629" t="n">
        <x:v>50</x:v>
      </x:c>
      <x:c r="H629" s="22" t="n">
        <x:v>448</x:v>
      </x:c>
      <x:c r="I629" t="n">
        <x:v>80</x:v>
      </x:c>
      <x:c r="J629" t="n">
        <x:v>0</x:v>
      </x:c>
    </x:row>
    <x:row r="630" ht="18" customHeight="1">
      <x:c r="A630" t="str">
        <x:v>50-930-4751</x:v>
      </x:c>
      <x:c r="B630" t="str">
        <x:v>Salmon</x:v>
      </x:c>
      <x:c r="C630" t="str">
        <x:v>Abata</x:v>
      </x:c>
      <x:c r="D630" t="str">
        <x:v>Seafood</x:v>
      </x:c>
      <x:c r="E630" t="str">
        <x:v>Discontinued</x:v>
      </x:c>
      <x:c r="F630" t="n">
        <x:v>88</x:v>
      </x:c>
      <x:c r="G630" t="n">
        <x:v>40</x:v>
      </x:c>
      <x:c r="H630" s="22" t="n">
        <x:v>1320</x:v>
      </x:c>
      <x:c r="I630" t="n">
        <x:v>29</x:v>
      </x:c>
      <x:c r="J630" t="n">
        <x:v>0</x:v>
      </x:c>
    </x:row>
    <x:row r="631" ht="18" customHeight="1">
      <x:c r="A631" t="str">
        <x:v>63-918-8253</x:v>
      </x:c>
      <x:c r="B631" t="str">
        <x:v>Mango</x:v>
      </x:c>
      <x:c r="C631" t="str">
        <x:v>Devpulse</x:v>
      </x:c>
      <x:c r="D631" t="str">
        <x:v>Fruits &amp; Vegetables</x:v>
      </x:c>
      <x:c r="E631" t="str">
        <x:v>Backordered</x:v>
      </x:c>
      <x:c r="F631" t="n">
        <x:v>53</x:v>
      </x:c>
      <x:c r="G631" t="n">
        <x:v>98</x:v>
      </x:c>
      <x:c r="H631" s="22" t="n">
        <x:v>265</x:v>
      </x:c>
      <x:c r="I631" t="n">
        <x:v>23</x:v>
      </x:c>
      <x:c r="J631" t="n">
        <x:v>45</x:v>
      </x:c>
    </x:row>
    <x:row r="632" ht="18" customHeight="1">
      <x:c r="A632" t="str">
        <x:v>84-629-1532</x:v>
      </x:c>
      <x:c r="B632" t="str">
        <x:v>Arabica Coffee</x:v>
      </x:c>
      <x:c r="C632" t="str">
        <x:v>Chatterpoint</x:v>
      </x:c>
      <x:c r="D632" t="str">
        <x:v>Beverages</x:v>
      </x:c>
      <x:c r="E632" t="str">
        <x:v>Discontinued</x:v>
      </x:c>
      <x:c r="F632" t="n">
        <x:v>22</x:v>
      </x:c>
      <x:c r="G632" t="n">
        <x:v>89</x:v>
      </x:c>
      <x:c r="H632" s="22" t="n">
        <x:v>462</x:v>
      </x:c>
      <x:c r="I632" t="n">
        <x:v>25</x:v>
      </x:c>
      <x:c r="J632" t="n">
        <x:v>0</x:v>
      </x:c>
    </x:row>
    <x:row r="633" ht="18" customHeight="1">
      <x:c r="A633" t="str">
        <x:v>77-312-6317</x:v>
      </x:c>
      <x:c r="B633" t="str">
        <x:v>Spinach</x:v>
      </x:c>
      <x:c r="C633" t="str">
        <x:v>Abatz</x:v>
      </x:c>
      <x:c r="D633" t="str">
        <x:v>Fruits &amp; Vegetables</x:v>
      </x:c>
      <x:c r="E633" t="str">
        <x:v>Discontinued</x:v>
      </x:c>
      <x:c r="F633" t="n">
        <x:v>41</x:v>
      </x:c>
      <x:c r="G633" t="n">
        <x:v>29</x:v>
      </x:c>
      <x:c r="H633" s="22" t="n">
        <x:v>98.4</x:v>
      </x:c>
      <x:c r="I633" t="n">
        <x:v>76</x:v>
      </x:c>
      <x:c r="J633" t="n">
        <x:v>0</x:v>
      </x:c>
    </x:row>
    <x:row r="634" ht="18" customHeight="1">
      <x:c r="A634" t="str">
        <x:v>21-693-8216</x:v>
      </x:c>
      <x:c r="B634" t="str">
        <x:v>Corn Oil</x:v>
      </x:c>
      <x:c r="C634" t="str">
        <x:v>Twinte</x:v>
      </x:c>
      <x:c r="D634" t="str">
        <x:v>Oils &amp; Fats</x:v>
      </x:c>
      <x:c r="E634" t="str">
        <x:v>Active</x:v>
      </x:c>
      <x:c r="F634" t="n">
        <x:v>70</x:v>
      </x:c>
      <x:c r="G634" t="n">
        <x:v>96</x:v>
      </x:c>
      <x:c r="H634" s="22" t="n">
        <x:v>175</x:v>
      </x:c>
      <x:c r="I634" t="n">
        <x:v>85</x:v>
      </x:c>
      <x:c r="J634" t="n">
        <x:v>85</x:v>
      </x:c>
    </x:row>
    <x:row r="635" ht="18" customHeight="1">
      <x:c r="A635" t="str">
        <x:v>74-430-8245</x:v>
      </x:c>
      <x:c r="B635" t="str">
        <x:v>Peach</x:v>
      </x:c>
      <x:c r="C635" t="str">
        <x:v>Ainyx</x:v>
      </x:c>
      <x:c r="D635" t="str">
        <x:v>Fruits &amp; Vegetables</x:v>
      </x:c>
      <x:c r="E635" t="str">
        <x:v>Backordered</x:v>
      </x:c>
      <x:c r="F635" t="n">
        <x:v>73</x:v>
      </x:c>
      <x:c r="G635" t="n">
        <x:v>90</x:v>
      </x:c>
      <x:c r="H635" s="22" t="n">
        <x:v>292</x:v>
      </x:c>
      <x:c r="I635" t="n">
        <x:v>77</x:v>
      </x:c>
      <x:c r="J635" t="n">
        <x:v>77</x:v>
      </x:c>
    </x:row>
    <x:row r="636" ht="18" customHeight="1">
      <x:c r="A636" t="str">
        <x:v>39-449-0772</x:v>
      </x:c>
      <x:c r="B636" t="str">
        <x:v>Feta Cheese</x:v>
      </x:c>
      <x:c r="C636" t="str">
        <x:v>Youfeed</x:v>
      </x:c>
      <x:c r="D636" t="str">
        <x:v>Dairy</x:v>
      </x:c>
      <x:c r="E636" t="str">
        <x:v>Backordered</x:v>
      </x:c>
      <x:c r="F636" t="n">
        <x:v>94</x:v>
      </x:c>
      <x:c r="G636" t="n">
        <x:v>13</x:v>
      </x:c>
      <x:c r="H636" s="22" t="n">
        <x:v>658</x:v>
      </x:c>
      <x:c r="I636" t="n">
        <x:v>15</x:v>
      </x:c>
      <x:c r="J636" t="n">
        <x:v>0</x:v>
      </x:c>
    </x:row>
    <x:row r="637" ht="18" customHeight="1">
      <x:c r="A637" t="str">
        <x:v>51-312-8608</x:v>
      </x:c>
      <x:c r="B637" t="str">
        <x:v>Cheddar Cheese</x:v>
      </x:c>
      <x:c r="C637" t="str">
        <x:v>Jabbersphere</x:v>
      </x:c>
      <x:c r="D637" t="str">
        <x:v>Dairy</x:v>
      </x:c>
      <x:c r="E637" t="str">
        <x:v>Active</x:v>
      </x:c>
      <x:c r="F637" t="n">
        <x:v>68</x:v>
      </x:c>
      <x:c r="G637" t="n">
        <x:v>60</x:v>
      </x:c>
      <x:c r="H637" s="22" t="n">
        <x:v>605.2</x:v>
      </x:c>
      <x:c r="I637" t="n">
        <x:v>21</x:v>
      </x:c>
      <x:c r="J637" t="n">
        <x:v>0</x:v>
      </x:c>
    </x:row>
    <x:row r="638" ht="18" customHeight="1">
      <x:c r="A638" t="str">
        <x:v>89-543-3456</x:v>
      </x:c>
      <x:c r="B638" t="str">
        <x:v>Blueberries</x:v>
      </x:c>
      <x:c r="C638" t="str">
        <x:v>Jaloo</x:v>
      </x:c>
      <x:c r="D638" t="str">
        <x:v>Fruits &amp; Vegetables</x:v>
      </x:c>
      <x:c r="E638" t="str">
        <x:v>Active</x:v>
      </x:c>
      <x:c r="F638" t="n">
        <x:v>66</x:v>
      </x:c>
      <x:c r="G638" t="n">
        <x:v>40</x:v>
      </x:c>
      <x:c r="H638" s="22" t="n">
        <x:v>660</x:v>
      </x:c>
      <x:c r="I638" t="n">
        <x:v>96</x:v>
      </x:c>
      <x:c r="J638" t="n">
        <x:v>0</x:v>
      </x:c>
    </x:row>
    <x:row r="639" ht="18" customHeight="1">
      <x:c r="A639" t="str">
        <x:v>57-861-4379</x:v>
      </x:c>
      <x:c r="B639" t="str">
        <x:v>Swiss Cheese</x:v>
      </x:c>
      <x:c r="C639" t="str">
        <x:v>Feedmix</x:v>
      </x:c>
      <x:c r="D639" t="str">
        <x:v>Dairy</x:v>
      </x:c>
      <x:c r="E639" t="str">
        <x:v>Backordered</x:v>
      </x:c>
      <x:c r="F639" t="n">
        <x:v>93</x:v>
      </x:c>
      <x:c r="G639" t="n">
        <x:v>8</x:v>
      </x:c>
      <x:c r="H639" s="22" t="n">
        <x:v>744</x:v>
      </x:c>
      <x:c r="I639" t="n">
        <x:v>51</x:v>
      </x:c>
      <x:c r="J639" t="n">
        <x:v>0</x:v>
      </x:c>
    </x:row>
    <x:row r="640" ht="18" customHeight="1">
      <x:c r="A640" t="str">
        <x:v>39-768-8205</x:v>
      </x:c>
      <x:c r="B640" t="str">
        <x:v>Egg (Turkey)</x:v>
      </x:c>
      <x:c r="C640" t="str">
        <x:v>Gigabox</x:v>
      </x:c>
      <x:c r="D640" t="str">
        <x:v>Dairy</x:v>
      </x:c>
      <x:c r="E640" t="str">
        <x:v>Backordered</x:v>
      </x:c>
      <x:c r="F640" t="n">
        <x:v>56</x:v>
      </x:c>
      <x:c r="G640" t="n">
        <x:v>97</x:v>
      </x:c>
      <x:c r="H640" s="22" t="n">
        <x:v>140</x:v>
      </x:c>
      <x:c r="I640" t="n">
        <x:v>29</x:v>
      </x:c>
      <x:c r="J640" t="n">
        <x:v>41</x:v>
      </x:c>
    </x:row>
    <x:row r="641" ht="18" customHeight="1">
      <x:c r="A641" t="str">
        <x:v>95-130-9020</x:v>
      </x:c>
      <x:c r="B641" t="str">
        <x:v>Heavy Cream</x:v>
      </x:c>
      <x:c r="C641" t="str">
        <x:v>Youbridge</x:v>
      </x:c>
      <x:c r="D641" t="str">
        <x:v>Dairy</x:v>
      </x:c>
      <x:c r="E641" t="str">
        <x:v>Active</x:v>
      </x:c>
      <x:c r="F641" t="n">
        <x:v>82</x:v>
      </x:c>
      <x:c r="G641" t="n">
        <x:v>12</x:v>
      </x:c>
      <x:c r="H641" s="22" t="n">
        <x:v>336.2</x:v>
      </x:c>
      <x:c r="I641" t="n">
        <x:v>94</x:v>
      </x:c>
      <x:c r="J641" t="n">
        <x:v>0</x:v>
      </x:c>
    </x:row>
    <x:row r="642" ht="18" customHeight="1">
      <x:c r="A642" t="str">
        <x:v>02-575-1980</x:v>
      </x:c>
      <x:c r="B642" t="str">
        <x:v>Plum</x:v>
      </x:c>
      <x:c r="C642" t="str">
        <x:v>Yambee</x:v>
      </x:c>
      <x:c r="D642" t="str">
        <x:v>Fruits &amp; Vegetables</x:v>
      </x:c>
      <x:c r="E642" t="str">
        <x:v>Active</x:v>
      </x:c>
      <x:c r="F642" t="n">
        <x:v>11</x:v>
      </x:c>
      <x:c r="G642" t="n">
        <x:v>58</x:v>
      </x:c>
      <x:c r="H642" s="22" t="n">
        <x:v>44</x:v>
      </x:c>
      <x:c r="I642" t="n">
        <x:v>32</x:v>
      </x:c>
      <x:c r="J642" t="n">
        <x:v>47</x:v>
      </x:c>
    </x:row>
    <x:row r="643" ht="18" customHeight="1">
      <x:c r="A643" t="str">
        <x:v>22-895-6595</x:v>
      </x:c>
      <x:c r="B643" t="str">
        <x:v>Rice Flour</x:v>
      </x:c>
      <x:c r="C643" t="str">
        <x:v>Topicblab</x:v>
      </x:c>
      <x:c r="D643" t="str">
        <x:v>Grains &amp; Pulses</x:v>
      </x:c>
      <x:c r="E643" t="str">
        <x:v>Active</x:v>
      </x:c>
      <x:c r="F643" t="n">
        <x:v>31</x:v>
      </x:c>
      <x:c r="G643" t="n">
        <x:v>32</x:v>
      </x:c>
      <x:c r="H643" s="22" t="n">
        <x:v>62</x:v>
      </x:c>
      <x:c r="I643" t="n">
        <x:v>69</x:v>
      </x:c>
      <x:c r="J643" t="n">
        <x:v>69</x:v>
      </x:c>
    </x:row>
    <x:row r="644" ht="18" customHeight="1">
      <x:c r="A644" t="str">
        <x:v>85-207-4164</x:v>
      </x:c>
      <x:c r="B644" t="str">
        <x:v>Eggplant</x:v>
      </x:c>
      <x:c r="C644" t="str">
        <x:v>Tanoodle</x:v>
      </x:c>
      <x:c r="D644" t="str">
        <x:v>Fruits &amp; Vegetables</x:v>
      </x:c>
      <x:c r="E644" t="str">
        <x:v>Backordered</x:v>
      </x:c>
      <x:c r="F644" t="n">
        <x:v>97</x:v>
      </x:c>
      <x:c r="G644" t="n">
        <x:v>20</x:v>
      </x:c>
      <x:c r="H644" s="22" t="n">
        <x:v>291</x:v>
      </x:c>
      <x:c r="I644" t="n">
        <x:v>72</x:v>
      </x:c>
      <x:c r="J644" t="n">
        <x:v>0</x:v>
      </x:c>
    </x:row>
    <x:row r="645" ht="18" customHeight="1">
      <x:c r="A645" t="str">
        <x:v>26-799-3714</x:v>
      </x:c>
      <x:c r="B645" t="str">
        <x:v>Robusta Coffee</x:v>
      </x:c>
      <x:c r="C645" t="str">
        <x:v>Mymm</x:v>
      </x:c>
      <x:c r="D645" t="str">
        <x:v>Beverages</x:v>
      </x:c>
      <x:c r="E645" t="str">
        <x:v>Active</x:v>
      </x:c>
      <x:c r="F645" t="n">
        <x:v>74</x:v>
      </x:c>
      <x:c r="G645" t="n">
        <x:v>2</x:v>
      </x:c>
      <x:c r="H645" s="22" t="n">
        <x:v>740</x:v>
      </x:c>
      <x:c r="I645" t="n">
        <x:v>45</x:v>
      </x:c>
      <x:c r="J645" t="n">
        <x:v>0</x:v>
      </x:c>
    </x:row>
    <x:row r="646" ht="18" customHeight="1">
      <x:c r="A646" t="str">
        <x:v>57-903-6434</x:v>
      </x:c>
      <x:c r="B646" t="str">
        <x:v>Tomato</x:v>
      </x:c>
      <x:c r="C646" t="str">
        <x:v>Shuffledrive</x:v>
      </x:c>
      <x:c r="D646" t="str">
        <x:v>Fruits &amp; Vegetables</x:v>
      </x:c>
      <x:c r="E646" t="str">
        <x:v>Active</x:v>
      </x:c>
      <x:c r="F646" t="n">
        <x:v>44</x:v>
      </x:c>
      <x:c r="G646" t="n">
        <x:v>67</x:v>
      </x:c>
      <x:c r="H646" s="22" t="n">
        <x:v>110</x:v>
      </x:c>
      <x:c r="I646" t="n">
        <x:v>15</x:v>
      </x:c>
      <x:c r="J646" t="n">
        <x:v>23</x:v>
      </x:c>
    </x:row>
    <x:row r="647" ht="18" customHeight="1">
      <x:c r="A647" t="str">
        <x:v>80-227-6886</x:v>
      </x:c>
      <x:c r="B647" t="str">
        <x:v>Garlic</x:v>
      </x:c>
      <x:c r="C647" t="str">
        <x:v>Layo</x:v>
      </x:c>
      <x:c r="D647" t="str">
        <x:v>Fruits &amp; Vegetables</x:v>
      </x:c>
      <x:c r="E647" t="str">
        <x:v>Active</x:v>
      </x:c>
      <x:c r="F647" t="n">
        <x:v>33</x:v>
      </x:c>
      <x:c r="G647" t="n">
        <x:v>4</x:v>
      </x:c>
      <x:c r="H647" s="22" t="n">
        <x:v>231</x:v>
      </x:c>
      <x:c r="I647" t="n">
        <x:v>31</x:v>
      </x:c>
      <x:c r="J647" t="n">
        <x:v>0</x:v>
      </x:c>
    </x:row>
    <x:row r="648" ht="18" customHeight="1">
      <x:c r="A648" t="str">
        <x:v>31-255-9616</x:v>
      </x:c>
      <x:c r="B648" t="str">
        <x:v>Tuna</x:v>
      </x:c>
      <x:c r="C648" t="str">
        <x:v>Centimia</x:v>
      </x:c>
      <x:c r="D648" t="str">
        <x:v>Seafood</x:v>
      </x:c>
      <x:c r="E648" t="str">
        <x:v>Backordered</x:v>
      </x:c>
      <x:c r="F648" t="n">
        <x:v>88</x:v>
      </x:c>
      <x:c r="G648" t="n">
        <x:v>71</x:v>
      </x:c>
      <x:c r="H648" s="22" t="n">
        <x:v>1584</x:v>
      </x:c>
      <x:c r="I648" t="n">
        <x:v>9</x:v>
      </x:c>
      <x:c r="J648" t="n">
        <x:v>0</x:v>
      </x:c>
    </x:row>
    <x:row r="649" ht="18" customHeight="1">
      <x:c r="A649" t="str">
        <x:v>37-610-1999</x:v>
      </x:c>
      <x:c r="B649" t="str">
        <x:v>Halibut</x:v>
      </x:c>
      <x:c r="C649" t="str">
        <x:v>Wikizz</x:v>
      </x:c>
      <x:c r="D649" t="str">
        <x:v>Seafood</x:v>
      </x:c>
      <x:c r="E649" t="str">
        <x:v>Discontinued</x:v>
      </x:c>
      <x:c r="F649" t="n">
        <x:v>14</x:v>
      </x:c>
      <x:c r="G649" t="n">
        <x:v>67</x:v>
      </x:c>
      <x:c r="H649" s="22" t="n">
        <x:v>280</x:v>
      </x:c>
      <x:c r="I649" t="n">
        <x:v>65</x:v>
      </x:c>
      <x:c r="J649" t="n">
        <x:v>0</x:v>
      </x:c>
    </x:row>
    <x:row r="650" ht="18" customHeight="1">
      <x:c r="A650" t="str">
        <x:v>86-330-0214</x:v>
      </x:c>
      <x:c r="B650" t="str">
        <x:v>Arabica Coffee</x:v>
      </x:c>
      <x:c r="C650" t="str">
        <x:v>Jayo</x:v>
      </x:c>
      <x:c r="D650" t="str">
        <x:v>Beverages</x:v>
      </x:c>
      <x:c r="E650" t="str">
        <x:v>Backordered</x:v>
      </x:c>
      <x:c r="F650" t="n">
        <x:v>36</x:v>
      </x:c>
      <x:c r="G650" t="n">
        <x:v>64</x:v>
      </x:c>
      <x:c r="H650" s="22" t="n">
        <x:v>720</x:v>
      </x:c>
      <x:c r="I650" t="n">
        <x:v>63</x:v>
      </x:c>
      <x:c r="J650" t="n">
        <x:v>63</x:v>
      </x:c>
    </x:row>
    <x:row r="651" ht="18" customHeight="1">
      <x:c r="A651" t="str">
        <x:v>29-592-7315</x:v>
      </x:c>
      <x:c r="B651" t="str">
        <x:v>Arborio Rice</x:v>
      </x:c>
      <x:c r="C651" t="str">
        <x:v>Dabtype</x:v>
      </x:c>
      <x:c r="D651" t="str">
        <x:v>Grains &amp; Pulses</x:v>
      </x:c>
      <x:c r="E651" t="str">
        <x:v>Active</x:v>
      </x:c>
      <x:c r="F651" t="n">
        <x:v>56</x:v>
      </x:c>
      <x:c r="G651" t="n">
        <x:v>4</x:v>
      </x:c>
      <x:c r="H651" s="22" t="n">
        <x:v>252</x:v>
      </x:c>
      <x:c r="I651" t="n">
        <x:v>74</x:v>
      </x:c>
      <x:c r="J651" t="n">
        <x:v>0</x:v>
      </x:c>
    </x:row>
    <x:row r="652" ht="18" customHeight="1">
      <x:c r="A652" t="str">
        <x:v>86-257-4613</x:v>
      </x:c>
      <x:c r="B652" t="str">
        <x:v>Jasmine Rice</x:v>
      </x:c>
      <x:c r="C652" t="str">
        <x:v>Kwilith</x:v>
      </x:c>
      <x:c r="D652" t="str">
        <x:v>Grains &amp; Pulses</x:v>
      </x:c>
      <x:c r="E652" t="str">
        <x:v>Discontinued</x:v>
      </x:c>
      <x:c r="F652" t="n">
        <x:v>44</x:v>
      </x:c>
      <x:c r="G652" t="n">
        <x:v>26</x:v>
      </x:c>
      <x:c r="H652" s="22" t="n">
        <x:v>209</x:v>
      </x:c>
      <x:c r="I652" t="n">
        <x:v>60</x:v>
      </x:c>
      <x:c r="J652" t="n">
        <x:v>0</x:v>
      </x:c>
    </x:row>
    <x:row r="653" ht="18" customHeight="1">
      <x:c r="A653" t="str">
        <x:v>79-350-5841</x:v>
      </x:c>
      <x:c r="B653" t="str">
        <x:v>Jasmine Rice</x:v>
      </x:c>
      <x:c r="C653" t="str">
        <x:v>Gabvine</x:v>
      </x:c>
      <x:c r="D653" t="str">
        <x:v>Grains &amp; Pulses</x:v>
      </x:c>
      <x:c r="E653" t="str">
        <x:v>Discontinued</x:v>
      </x:c>
      <x:c r="F653" t="n">
        <x:v>33</x:v>
      </x:c>
      <x:c r="G653" t="n">
        <x:v>44</x:v>
      </x:c>
      <x:c r="H653" s="22" t="n">
        <x:v>156.75</x:v>
      </x:c>
      <x:c r="I653" t="n">
        <x:v>89</x:v>
      </x:c>
      <x:c r="J653" t="n">
        <x:v>0</x:v>
      </x:c>
    </x:row>
    <x:row r="654" ht="18" customHeight="1">
      <x:c r="A654" t="str">
        <x:v>22-329-7791</x:v>
      </x:c>
      <x:c r="B654" t="str">
        <x:v>Watermelon</x:v>
      </x:c>
      <x:c r="C654" t="str">
        <x:v>Eidel</x:v>
      </x:c>
      <x:c r="D654" t="str">
        <x:v>Fruits &amp; Vegetables</x:v>
      </x:c>
      <x:c r="E654" t="str">
        <x:v>Discontinued</x:v>
      </x:c>
      <x:c r="F654" t="n">
        <x:v>53</x:v>
      </x:c>
      <x:c r="G654" t="n">
        <x:v>41</x:v>
      </x:c>
      <x:c r="H654" s="22" t="n">
        <x:v>159</x:v>
      </x:c>
      <x:c r="I654" t="n">
        <x:v>30</x:v>
      </x:c>
      <x:c r="J654" t="n">
        <x:v>0</x:v>
      </x:c>
    </x:row>
    <x:row r="655" ht="18" customHeight="1">
      <x:c r="A655" t="str">
        <x:v>10-854-5467</x:v>
      </x:c>
      <x:c r="B655" t="str">
        <x:v>Canola Oil</x:v>
      </x:c>
      <x:c r="C655" t="str">
        <x:v>Realcube</x:v>
      </x:c>
      <x:c r="D655" t="str">
        <x:v>Oils &amp; Fats</x:v>
      </x:c>
      <x:c r="E655" t="str">
        <x:v>Discontinued</x:v>
      </x:c>
      <x:c r="F655" t="n">
        <x:v>96</x:v>
      </x:c>
      <x:c r="G655" t="n">
        <x:v>51</x:v>
      </x:c>
      <x:c r="H655" s="22" t="n">
        <x:v>220.8</x:v>
      </x:c>
      <x:c r="I655" t="n">
        <x:v>40</x:v>
      </x:c>
      <x:c r="J655" t="n">
        <x:v>0</x:v>
      </x:c>
    </x:row>
    <x:row r="656" ht="18" customHeight="1">
      <x:c r="A656" t="str">
        <x:v>70-612-2531</x:v>
      </x:c>
      <x:c r="B656" t="str">
        <x:v>Pineapple</x:v>
      </x:c>
      <x:c r="C656" t="str">
        <x:v>Flipbug</x:v>
      </x:c>
      <x:c r="D656" t="str">
        <x:v>Fruits &amp; Vegetables</x:v>
      </x:c>
      <x:c r="E656" t="str">
        <x:v>Discontinued</x:v>
      </x:c>
      <x:c r="F656" t="n">
        <x:v>48</x:v>
      </x:c>
      <x:c r="G656" t="n">
        <x:v>48</x:v>
      </x:c>
      <x:c r="H656" s="22" t="n">
        <x:v>165.6</x:v>
      </x:c>
      <x:c r="I656" t="n">
        <x:v>39</x:v>
      </x:c>
      <x:c r="J656" t="n">
        <x:v>0</x:v>
      </x:c>
    </x:row>
    <x:row r="657" ht="18" customHeight="1">
      <x:c r="A657" t="str">
        <x:v>71-516-1996</x:v>
      </x:c>
      <x:c r="B657" t="str">
        <x:v>Corn Oil</x:v>
      </x:c>
      <x:c r="C657" t="str">
        <x:v>Tagfeed</x:v>
      </x:c>
      <x:c r="D657" t="str">
        <x:v>Oils &amp; Fats</x:v>
      </x:c>
      <x:c r="E657" t="str">
        <x:v>Active</x:v>
      </x:c>
      <x:c r="F657" t="n">
        <x:v>96</x:v>
      </x:c>
      <x:c r="G657" t="n">
        <x:v>52</x:v>
      </x:c>
      <x:c r="H657" s="22" t="n">
        <x:v>240</x:v>
      </x:c>
      <x:c r="I657" t="n">
        <x:v>16</x:v>
      </x:c>
      <x:c r="J657" t="n">
        <x:v>0</x:v>
      </x:c>
    </x:row>
    <x:row r="658" ht="18" customHeight="1">
      <x:c r="A658" t="str">
        <x:v>71-999-2404</x:v>
      </x:c>
      <x:c r="B658" t="str">
        <x:v>Mango</x:v>
      </x:c>
      <x:c r="C658" t="str">
        <x:v>Meezzy</x:v>
      </x:c>
      <x:c r="D658" t="str">
        <x:v>Fruits &amp; Vegetables</x:v>
      </x:c>
      <x:c r="E658" t="str">
        <x:v>Active</x:v>
      </x:c>
      <x:c r="F658" t="n">
        <x:v>58</x:v>
      </x:c>
      <x:c r="G658" t="n">
        <x:v>58</x:v>
      </x:c>
      <x:c r="H658" s="22" t="n">
        <x:v>272.6</x:v>
      </x:c>
      <x:c r="I658" t="n">
        <x:v>28</x:v>
      </x:c>
      <x:c r="J658" t="n">
        <x:v>0</x:v>
      </x:c>
    </x:row>
    <x:row r="659" ht="18" customHeight="1">
      <x:c r="A659" t="str">
        <x:v>29-875-6900</x:v>
      </x:c>
      <x:c r="B659" t="str">
        <x:v>Papaya</x:v>
      </x:c>
      <x:c r="C659" t="str">
        <x:v>Avaveo</x:v>
      </x:c>
      <x:c r="D659" t="str">
        <x:v>Fruits &amp; Vegetables</x:v>
      </x:c>
      <x:c r="E659" t="str">
        <x:v>Discontinued</x:v>
      </x:c>
      <x:c r="F659" t="n">
        <x:v>45</x:v>
      </x:c>
      <x:c r="G659" t="n">
        <x:v>28</x:v>
      </x:c>
      <x:c r="H659" s="22" t="n">
        <x:v>202.5</x:v>
      </x:c>
      <x:c r="I659" t="n">
        <x:v>6</x:v>
      </x:c>
      <x:c r="J659" t="n">
        <x:v>0</x:v>
      </x:c>
    </x:row>
    <x:row r="660" ht="18" customHeight="1">
      <x:c r="A660" t="str">
        <x:v>11-922-3342</x:v>
      </x:c>
      <x:c r="B660" t="str">
        <x:v>Black Coffee</x:v>
      </x:c>
      <x:c r="C660" t="str">
        <x:v>Gabspot</x:v>
      </x:c>
      <x:c r="D660" t="str">
        <x:v>Beverages</x:v>
      </x:c>
      <x:c r="E660" t="str">
        <x:v>Discontinued</x:v>
      </x:c>
      <x:c r="F660" t="n">
        <x:v>24</x:v>
      </x:c>
      <x:c r="G660" t="n">
        <x:v>77</x:v>
      </x:c>
      <x:c r="H660" s="22" t="n">
        <x:v>372</x:v>
      </x:c>
      <x:c r="I660" t="n">
        <x:v>32</x:v>
      </x:c>
      <x:c r="J660" t="n">
        <x:v>0</x:v>
      </x:c>
    </x:row>
    <x:row r="661" ht="18" customHeight="1">
      <x:c r="A661" t="str">
        <x:v>74-562-7431</x:v>
      </x:c>
      <x:c r="B661" t="str">
        <x:v>Vanilla Biscuit</x:v>
      </x:c>
      <x:c r="C661" t="str">
        <x:v>Linkbridge</x:v>
      </x:c>
      <x:c r="D661" t="str">
        <x:v>Bakery</x:v>
      </x:c>
      <x:c r="E661" t="str">
        <x:v>Backordered</x:v>
      </x:c>
      <x:c r="F661" t="n">
        <x:v>94</x:v>
      </x:c>
      <x:c r="G661" t="n">
        <x:v>34</x:v>
      </x:c>
      <x:c r="H661" s="22" t="n">
        <x:v>517</x:v>
      </x:c>
      <x:c r="I661" t="n">
        <x:v>21</x:v>
      </x:c>
      <x:c r="J661" t="n">
        <x:v>0</x:v>
      </x:c>
    </x:row>
    <x:row r="662" ht="18" customHeight="1">
      <x:c r="A662" t="str">
        <x:v>95-357-2870</x:v>
      </x:c>
      <x:c r="B662" t="str">
        <x:v>Arborio Rice</x:v>
      </x:c>
      <x:c r="C662" t="str">
        <x:v>Talane</x:v>
      </x:c>
      <x:c r="D662" t="str">
        <x:v>Grains &amp; Pulses</x:v>
      </x:c>
      <x:c r="E662" t="str">
        <x:v>Discontinued</x:v>
      </x:c>
      <x:c r="F662" t="n">
        <x:v>86</x:v>
      </x:c>
      <x:c r="G662" t="n">
        <x:v>80</x:v>
      </x:c>
      <x:c r="H662" s="22" t="n">
        <x:v>387</x:v>
      </x:c>
      <x:c r="I662" t="n">
        <x:v>80</x:v>
      </x:c>
      <x:c r="J662" t="n">
        <x:v>0</x:v>
      </x:c>
    </x:row>
    <x:row r="663" ht="18" customHeight="1">
      <x:c r="A663" t="str">
        <x:v>04-277-5245</x:v>
      </x:c>
      <x:c r="B663" t="str">
        <x:v>Coconut Sugar</x:v>
      </x:c>
      <x:c r="C663" t="str">
        <x:v>Bubblebox</x:v>
      </x:c>
      <x:c r="D663" t="str">
        <x:v>Grains &amp; Pulses</x:v>
      </x:c>
      <x:c r="E663" t="str">
        <x:v>Backordered</x:v>
      </x:c>
      <x:c r="F663" t="n">
        <x:v>20</x:v>
      </x:c>
      <x:c r="G663" t="n">
        <x:v>51</x:v>
      </x:c>
      <x:c r="H663" s="22" t="n">
        <x:v>100</x:v>
      </x:c>
      <x:c r="I663" t="n">
        <x:v>21</x:v>
      </x:c>
      <x:c r="J663" t="n">
        <x:v>31</x:v>
      </x:c>
    </x:row>
    <x:row r="664" ht="18" customHeight="1">
      <x:c r="A664" t="str">
        <x:v>91-105-7317</x:v>
      </x:c>
      <x:c r="B664" t="str">
        <x:v>Orange</x:v>
      </x:c>
      <x:c r="C664" t="str">
        <x:v>Devshare</x:v>
      </x:c>
      <x:c r="D664" t="str">
        <x:v>Fruits &amp; Vegetables</x:v>
      </x:c>
      <x:c r="E664" t="str">
        <x:v>Discontinued</x:v>
      </x:c>
      <x:c r="F664" t="n">
        <x:v>85</x:v>
      </x:c>
      <x:c r="G664" t="n">
        <x:v>45</x:v>
      </x:c>
      <x:c r="H664" s="22" t="n">
        <x:v>255</x:v>
      </x:c>
      <x:c r="I664" t="n">
        <x:v>71</x:v>
      </x:c>
      <x:c r="J664" t="n">
        <x:v>0</x:v>
      </x:c>
    </x:row>
    <x:row r="665" ht="18" customHeight="1">
      <x:c r="A665" t="str">
        <x:v>37-246-0018</x:v>
      </x:c>
      <x:c r="B665" t="str">
        <x:v>Broccoli</x:v>
      </x:c>
      <x:c r="C665" t="str">
        <x:v>Skilith</x:v>
      </x:c>
      <x:c r="D665" t="str">
        <x:v>Fruits &amp; Vegetables</x:v>
      </x:c>
      <x:c r="E665" t="str">
        <x:v>Discontinued</x:v>
      </x:c>
      <x:c r="F665" t="n">
        <x:v>30</x:v>
      </x:c>
      <x:c r="G665" t="n">
        <x:v>59</x:v>
      </x:c>
      <x:c r="H665" s="22" t="n">
        <x:v>120</x:v>
      </x:c>
      <x:c r="I665" t="n">
        <x:v>76</x:v>
      </x:c>
      <x:c r="J665" t="n">
        <x:v>0</x:v>
      </x:c>
    </x:row>
    <x:row r="666" ht="18" customHeight="1">
      <x:c r="A666" t="str">
        <x:v>27-474-0056</x:v>
      </x:c>
      <x:c r="B666" t="str">
        <x:v>Spinach</x:v>
      </x:c>
      <x:c r="C666" t="str">
        <x:v>Feedfish</x:v>
      </x:c>
      <x:c r="D666" t="str">
        <x:v>Fruits &amp; Vegetables</x:v>
      </x:c>
      <x:c r="E666" t="str">
        <x:v>Backordered</x:v>
      </x:c>
      <x:c r="F666" t="n">
        <x:v>23</x:v>
      </x:c>
      <x:c r="G666" t="n">
        <x:v>6</x:v>
      </x:c>
      <x:c r="H666" s="22" t="n">
        <x:v>57.5</x:v>
      </x:c>
      <x:c r="I666" t="n">
        <x:v>40</x:v>
      </x:c>
      <x:c r="J666" t="n">
        <x:v>0</x:v>
      </x:c>
    </x:row>
    <x:row r="667" ht="18" customHeight="1">
      <x:c r="A667" t="str">
        <x:v>12-439-8428</x:v>
      </x:c>
      <x:c r="B667" t="str">
        <x:v>Eggplant</x:v>
      </x:c>
      <x:c r="C667" t="str">
        <x:v>Ainyx</x:v>
      </x:c>
      <x:c r="D667" t="str">
        <x:v>Fruits &amp; Vegetables</x:v>
      </x:c>
      <x:c r="E667" t="str">
        <x:v>Backordered</x:v>
      </x:c>
      <x:c r="F667" t="n">
        <x:v>17</x:v>
      </x:c>
      <x:c r="G667" t="n">
        <x:v>3</x:v>
      </x:c>
      <x:c r="H667" s="22" t="n">
        <x:v>51</x:v>
      </x:c>
      <x:c r="I667" t="n">
        <x:v>33</x:v>
      </x:c>
      <x:c r="J667" t="n">
        <x:v>0</x:v>
      </x:c>
    </x:row>
    <x:row r="668" ht="18" customHeight="1">
      <x:c r="A668" t="str">
        <x:v>56-657-4387</x:v>
      </x:c>
      <x:c r="B668" t="str">
        <x:v>White Bread</x:v>
      </x:c>
      <x:c r="C668" t="str">
        <x:v>Meevee</x:v>
      </x:c>
      <x:c r="D668" t="str">
        <x:v>Bakery</x:v>
      </x:c>
      <x:c r="E668" t="str">
        <x:v>Backordered</x:v>
      </x:c>
      <x:c r="F668" t="n">
        <x:v>61</x:v>
      </x:c>
      <x:c r="G668" t="n">
        <x:v>77</x:v>
      </x:c>
      <x:c r="H668" s="22" t="n">
        <x:v>152.5</x:v>
      </x:c>
      <x:c r="I668" t="n">
        <x:v>45</x:v>
      </x:c>
      <x:c r="J668" t="n">
        <x:v>45</x:v>
      </x:c>
    </x:row>
    <x:row r="669" ht="18" customHeight="1">
      <x:c r="A669" t="str">
        <x:v>91-290-9062</x:v>
      </x:c>
      <x:c r="B669" t="str">
        <x:v>Digestive Biscuit</x:v>
      </x:c>
      <x:c r="C669" t="str">
        <x:v>Zoonder</x:v>
      </x:c>
      <x:c r="D669" t="str">
        <x:v>Bakery</x:v>
      </x:c>
      <x:c r="E669" t="str">
        <x:v>Backordered</x:v>
      </x:c>
      <x:c r="F669" t="n">
        <x:v>29</x:v>
      </x:c>
      <x:c r="G669" t="n">
        <x:v>2</x:v>
      </x:c>
      <x:c r="H669" s="22" t="n">
        <x:v>116</x:v>
      </x:c>
      <x:c r="I669" t="n">
        <x:v>84</x:v>
      </x:c>
      <x:c r="J669" t="n">
        <x:v>0</x:v>
      </x:c>
    </x:row>
    <x:row r="670" ht="18" customHeight="1">
      <x:c r="A670" t="str">
        <x:v>06-503-5891</x:v>
      </x:c>
      <x:c r="B670" t="str">
        <x:v>Egg (Goose)</x:v>
      </x:c>
      <x:c r="C670" t="str">
        <x:v>Babblestorm</x:v>
      </x:c>
      <x:c r="D670" t="str">
        <x:v>Dairy</x:v>
      </x:c>
      <x:c r="E670" t="str">
        <x:v>Backordered</x:v>
      </x:c>
      <x:c r="F670" t="n">
        <x:v>40</x:v>
      </x:c>
      <x:c r="G670" t="n">
        <x:v>22</x:v>
      </x:c>
      <x:c r="H670" s="22" t="n">
        <x:v>98</x:v>
      </x:c>
      <x:c r="I670" t="n">
        <x:v>74</x:v>
      </x:c>
      <x:c r="J670" t="n">
        <x:v>0</x:v>
      </x:c>
    </x:row>
    <x:row r="671" ht="18" customHeight="1">
      <x:c r="A671" t="str">
        <x:v>37-064-7275</x:v>
      </x:c>
      <x:c r="B671" t="str">
        <x:v>Robusta Coffee</x:v>
      </x:c>
      <x:c r="C671" t="str">
        <x:v>Skiptube</x:v>
      </x:c>
      <x:c r="D671" t="str">
        <x:v>Beverages</x:v>
      </x:c>
      <x:c r="E671" t="str">
        <x:v>Discontinued</x:v>
      </x:c>
      <x:c r="F671" t="n">
        <x:v>20</x:v>
      </x:c>
      <x:c r="G671" t="n">
        <x:v>42</x:v>
      </x:c>
      <x:c r="H671" s="22" t="n">
        <x:v>200</x:v>
      </x:c>
      <x:c r="I671" t="n">
        <x:v>45</x:v>
      </x:c>
      <x:c r="J671" t="n">
        <x:v>0</x:v>
      </x:c>
    </x:row>
    <x:row r="672" ht="18" customHeight="1">
      <x:c r="A672" t="str">
        <x:v>21-993-5632</x:v>
      </x:c>
      <x:c r="B672" t="str">
        <x:v>Watermelon</x:v>
      </x:c>
      <x:c r="C672" t="str">
        <x:v>Innotype</x:v>
      </x:c>
      <x:c r="D672" t="str">
        <x:v>Fruits &amp; Vegetables</x:v>
      </x:c>
      <x:c r="E672" t="str">
        <x:v>Active</x:v>
      </x:c>
      <x:c r="F672" t="n">
        <x:v>51</x:v>
      </x:c>
      <x:c r="G672" t="n">
        <x:v>72</x:v>
      </x:c>
      <x:c r="H672" s="22" t="n">
        <x:v>153</x:v>
      </x:c>
      <x:c r="I672" t="n">
        <x:v>85</x:v>
      </x:c>
      <x:c r="J672" t="n">
        <x:v>85</x:v>
      </x:c>
    </x:row>
    <x:row r="673" ht="18" customHeight="1">
      <x:c r="A673" t="str">
        <x:v>05-720-8792</x:v>
      </x:c>
      <x:c r="B673" t="str">
        <x:v>Carrot</x:v>
      </x:c>
      <x:c r="C673" t="str">
        <x:v>Linkbridge</x:v>
      </x:c>
      <x:c r="D673" t="str">
        <x:v>Fruits &amp; Vegetables</x:v>
      </x:c>
      <x:c r="E673" t="str">
        <x:v>Active</x:v>
      </x:c>
      <x:c r="F673" t="n">
        <x:v>80</x:v>
      </x:c>
      <x:c r="G673" t="n">
        <x:v>91</x:v>
      </x:c>
      <x:c r="H673" s="22" t="n">
        <x:v>120</x:v>
      </x:c>
      <x:c r="I673" t="n">
        <x:v>36</x:v>
      </x:c>
      <x:c r="J673" t="n">
        <x:v>36</x:v>
      </x:c>
    </x:row>
    <x:row r="674" ht="18" customHeight="1">
      <x:c r="A674" t="str">
        <x:v>36-531-4087</x:v>
      </x:c>
      <x:c r="B674" t="str">
        <x:v>Almond Flour</x:v>
      </x:c>
      <x:c r="C674" t="str">
        <x:v>Skaboo</x:v>
      </x:c>
      <x:c r="D674" t="str">
        <x:v>Grains &amp; Pulses</x:v>
      </x:c>
      <x:c r="E674" t="str">
        <x:v>Discontinued</x:v>
      </x:c>
      <x:c r="F674" t="n">
        <x:v>85</x:v>
      </x:c>
      <x:c r="G674" t="n">
        <x:v>12</x:v>
      </x:c>
      <x:c r="H674" s="22" t="n">
        <x:v>807.5</x:v>
      </x:c>
      <x:c r="I674" t="n">
        <x:v>94</x:v>
      </x:c>
      <x:c r="J674" t="n">
        <x:v>0</x:v>
      </x:c>
    </x:row>
    <x:row r="675" ht="18" customHeight="1">
      <x:c r="A675" t="str">
        <x:v>61-680-9496</x:v>
      </x:c>
      <x:c r="B675" t="str">
        <x:v>Apple</x:v>
      </x:c>
      <x:c r="C675" t="str">
        <x:v>Wikido</x:v>
      </x:c>
      <x:c r="D675" t="str">
        <x:v>Fruits &amp; Vegetables</x:v>
      </x:c>
      <x:c r="E675" t="str">
        <x:v>Discontinued</x:v>
      </x:c>
      <x:c r="F675" t="n">
        <x:v>17</x:v>
      </x:c>
      <x:c r="G675" t="n">
        <x:v>14</x:v>
      </x:c>
      <x:c r="H675" s="22" t="n">
        <x:v>59.5</x:v>
      </x:c>
      <x:c r="I675" t="n">
        <x:v>17</x:v>
      </x:c>
      <x:c r="J675" t="n">
        <x:v>0</x:v>
      </x:c>
    </x:row>
    <x:row r="676" ht="18" customHeight="1">
      <x:c r="A676" t="str">
        <x:v>36-636-4873</x:v>
      </x:c>
      <x:c r="B676" t="str">
        <x:v>Black Rice</x:v>
      </x:c>
      <x:c r="C676" t="str">
        <x:v>Wikivu</x:v>
      </x:c>
      <x:c r="D676" t="str">
        <x:v>Grains &amp; Pulses</x:v>
      </x:c>
      <x:c r="E676" t="str">
        <x:v>Active</x:v>
      </x:c>
      <x:c r="F676" t="n">
        <x:v>86</x:v>
      </x:c>
      <x:c r="G676" t="n">
        <x:v>100</x:v>
      </x:c>
      <x:c r="H676" s="22" t="n">
        <x:v>524.6</x:v>
      </x:c>
      <x:c r="I676" t="n">
        <x:v>74</x:v>
      </x:c>
      <x:c r="J676" t="n">
        <x:v>74</x:v>
      </x:c>
    </x:row>
    <x:row r="677" ht="18" customHeight="1">
      <x:c r="A677" t="str">
        <x:v>45-992-5653</x:v>
      </x:c>
      <x:c r="B677" t="str">
        <x:v>Whole Wheat Flour</x:v>
      </x:c>
      <x:c r="C677" t="str">
        <x:v>Jaxworks</x:v>
      </x:c>
      <x:c r="D677" t="str">
        <x:v>Grains &amp; Pulses</x:v>
      </x:c>
      <x:c r="E677" t="str">
        <x:v>Backordered</x:v>
      </x:c>
      <x:c r="F677" t="n">
        <x:v>82</x:v>
      </x:c>
      <x:c r="G677" t="n">
        <x:v>67</x:v>
      </x:c>
      <x:c r="H677" s="22" t="n">
        <x:v>225.5</x:v>
      </x:c>
      <x:c r="I677" t="n">
        <x:v>67</x:v>
      </x:c>
      <x:c r="J677" t="n">
        <x:v>0</x:v>
      </x:c>
    </x:row>
    <x:row r="678" ht="18" customHeight="1">
      <x:c r="A678" t="str">
        <x:v>85-781-5386</x:v>
      </x:c>
      <x:c r="B678" t="str">
        <x:v>Salmon</x:v>
      </x:c>
      <x:c r="C678" t="str">
        <x:v>Avavee</x:v>
      </x:c>
      <x:c r="D678" t="str">
        <x:v>Seafood</x:v>
      </x:c>
      <x:c r="E678" t="str">
        <x:v>Discontinued</x:v>
      </x:c>
      <x:c r="F678" t="n">
        <x:v>78</x:v>
      </x:c>
      <x:c r="G678" t="n">
        <x:v>68</x:v>
      </x:c>
      <x:c r="H678" s="22" t="n">
        <x:v>1170</x:v>
      </x:c>
      <x:c r="I678" t="n">
        <x:v>86</x:v>
      </x:c>
      <x:c r="J678" t="n">
        <x:v>0</x:v>
      </x:c>
    </x:row>
    <x:row r="679" ht="18" customHeight="1">
      <x:c r="A679" t="str">
        <x:v>76-459-2392</x:v>
      </x:c>
      <x:c r="B679" t="str">
        <x:v>Palm Oil</x:v>
      </x:c>
      <x:c r="C679" t="str">
        <x:v>Fivebridge</x:v>
      </x:c>
      <x:c r="D679" t="str">
        <x:v>Oils &amp; Fats</x:v>
      </x:c>
      <x:c r="E679" t="str">
        <x:v>Backordered</x:v>
      </x:c>
      <x:c r="F679" t="n">
        <x:v>74</x:v>
      </x:c>
      <x:c r="G679" t="n">
        <x:v>4</x:v>
      </x:c>
      <x:c r="H679" s="22" t="n">
        <x:v>133.2</x:v>
      </x:c>
      <x:c r="I679" t="n">
        <x:v>67</x:v>
      </x:c>
      <x:c r="J679" t="n">
        <x:v>0</x:v>
      </x:c>
    </x:row>
    <x:row r="680" ht="18" customHeight="1">
      <x:c r="A680" t="str">
        <x:v>92-791-0606</x:v>
      </x:c>
      <x:c r="B680" t="str">
        <x:v>Short Grain Rice</x:v>
      </x:c>
      <x:c r="C680" t="str">
        <x:v>Photobean</x:v>
      </x:c>
      <x:c r="D680" t="str">
        <x:v>Grains &amp; Pulses</x:v>
      </x:c>
      <x:c r="E680" t="str">
        <x:v>Discontinued</x:v>
      </x:c>
      <x:c r="F680" t="n">
        <x:v>18</x:v>
      </x:c>
      <x:c r="G680" t="n">
        <x:v>62</x:v>
      </x:c>
      <x:c r="H680" s="22" t="n">
        <x:v>54</x:v>
      </x:c>
      <x:c r="I680" t="n">
        <x:v>2</x:v>
      </x:c>
      <x:c r="J680" t="n">
        <x:v>0</x:v>
      </x:c>
    </x:row>
    <x:row r="681" ht="18" customHeight="1">
      <x:c r="A681" t="str">
        <x:v>87-199-2743</x:v>
      </x:c>
      <x:c r="B681" t="str">
        <x:v>Papaya</x:v>
      </x:c>
      <x:c r="C681" t="str">
        <x:v>Demivee</x:v>
      </x:c>
      <x:c r="D681" t="str">
        <x:v>Fruits &amp; Vegetables</x:v>
      </x:c>
      <x:c r="E681" t="str">
        <x:v>Active</x:v>
      </x:c>
      <x:c r="F681" t="n">
        <x:v>59</x:v>
      </x:c>
      <x:c r="G681" t="n">
        <x:v>74</x:v>
      </x:c>
      <x:c r="H681" s="22" t="n">
        <x:v>265.5</x:v>
      </x:c>
      <x:c r="I681" t="n">
        <x:v>100</x:v>
      </x:c>
      <x:c r="J681" t="n">
        <x:v>100</x:v>
      </x:c>
    </x:row>
    <x:row r="682" ht="18" customHeight="1">
      <x:c r="A682" t="str">
        <x:v>04-038-1547</x:v>
      </x:c>
      <x:c r="B682" t="str">
        <x:v>Rye Bread</x:v>
      </x:c>
      <x:c r="C682" t="str">
        <x:v>Realblab</x:v>
      </x:c>
      <x:c r="D682" t="str">
        <x:v>Bakery</x:v>
      </x:c>
      <x:c r="E682" t="str">
        <x:v>Discontinued</x:v>
      </x:c>
      <x:c r="F682" t="n">
        <x:v>48</x:v>
      </x:c>
      <x:c r="G682" t="n">
        <x:v>2</x:v>
      </x:c>
      <x:c r="H682" s="22" t="n">
        <x:v>134.4</x:v>
      </x:c>
      <x:c r="I682" t="n">
        <x:v>16</x:v>
      </x:c>
      <x:c r="J682" t="n">
        <x:v>0</x:v>
      </x:c>
    </x:row>
    <x:row r="683" ht="18" customHeight="1">
      <x:c r="A683" t="str">
        <x:v>83-917-7384</x:v>
      </x:c>
      <x:c r="B683" t="str">
        <x:v>Garlic</x:v>
      </x:c>
      <x:c r="C683" t="str">
        <x:v>Tavu</x:v>
      </x:c>
      <x:c r="D683" t="str">
        <x:v>Fruits &amp; Vegetables</x:v>
      </x:c>
      <x:c r="E683" t="str">
        <x:v>Discontinued</x:v>
      </x:c>
      <x:c r="F683" t="n">
        <x:v>76</x:v>
      </x:c>
      <x:c r="G683" t="n">
        <x:v>97</x:v>
      </x:c>
      <x:c r="H683" s="22" t="n">
        <x:v>532</x:v>
      </x:c>
      <x:c r="I683" t="n">
        <x:v>20</x:v>
      </x:c>
      <x:c r="J683" t="n">
        <x:v>0</x:v>
      </x:c>
    </x:row>
    <x:row r="684" ht="18" customHeight="1">
      <x:c r="A684" t="str">
        <x:v>94-525-6925</x:v>
      </x:c>
      <x:c r="B684" t="str">
        <x:v>Rye Bread</x:v>
      </x:c>
      <x:c r="C684" t="str">
        <x:v>Kwilith</x:v>
      </x:c>
      <x:c r="D684" t="str">
        <x:v>Bakery</x:v>
      </x:c>
      <x:c r="E684" t="str">
        <x:v>Discontinued</x:v>
      </x:c>
      <x:c r="F684" t="n">
        <x:v>50</x:v>
      </x:c>
      <x:c r="G684" t="n">
        <x:v>56</x:v>
      </x:c>
      <x:c r="H684" s="22" t="n">
        <x:v>150</x:v>
      </x:c>
      <x:c r="I684" t="n">
        <x:v>63</x:v>
      </x:c>
      <x:c r="J684" t="n">
        <x:v>0</x:v>
      </x:c>
    </x:row>
    <x:row r="685" ht="18" customHeight="1">
      <x:c r="A685" t="str">
        <x:v>16-632-1308</x:v>
      </x:c>
      <x:c r="B685" t="str">
        <x:v>Arabica Coffee</x:v>
      </x:c>
      <x:c r="C685" t="str">
        <x:v>Voonyx</x:v>
      </x:c>
      <x:c r="D685" t="str">
        <x:v>Beverages</x:v>
      </x:c>
      <x:c r="E685" t="str">
        <x:v>Backordered</x:v>
      </x:c>
      <x:c r="F685" t="n">
        <x:v>23</x:v>
      </x:c>
      <x:c r="G685" t="n">
        <x:v>13</x:v>
      </x:c>
      <x:c r="H685" s="22" t="n">
        <x:v>460</x:v>
      </x:c>
      <x:c r="I685" t="n">
        <x:v>15</x:v>
      </x:c>
      <x:c r="J685" t="n">
        <x:v>0</x:v>
      </x:c>
    </x:row>
    <x:row r="686" ht="18" customHeight="1">
      <x:c r="A686" t="str">
        <x:v>13-798-3397</x:v>
      </x:c>
      <x:c r="B686" t="str">
        <x:v>Egg (Turkey)</x:v>
      </x:c>
      <x:c r="C686" t="str">
        <x:v>Twimm</x:v>
      </x:c>
      <x:c r="D686" t="str">
        <x:v>Dairy</x:v>
      </x:c>
      <x:c r="E686" t="str">
        <x:v>Active</x:v>
      </x:c>
      <x:c r="F686" t="n">
        <x:v>86</x:v>
      </x:c>
      <x:c r="G686" t="n">
        <x:v>16</x:v>
      </x:c>
      <x:c r="H686" s="22" t="n">
        <x:v>215</x:v>
      </x:c>
      <x:c r="I686" t="n">
        <x:v>37</x:v>
      </x:c>
      <x:c r="J686" t="n">
        <x:v>0</x:v>
      </x:c>
    </x:row>
    <x:row r="687" ht="18" customHeight="1">
      <x:c r="A687" t="str">
        <x:v>69-834-2874</x:v>
      </x:c>
      <x:c r="B687" t="str">
        <x:v>Oatmeal Biscuit</x:v>
      </x:c>
      <x:c r="C687" t="str">
        <x:v>Skajo</x:v>
      </x:c>
      <x:c r="D687" t="str">
        <x:v>Bakery</x:v>
      </x:c>
      <x:c r="E687" t="str">
        <x:v>Discontinued</x:v>
      </x:c>
      <x:c r="F687" t="n">
        <x:v>28</x:v>
      </x:c>
      <x:c r="G687" t="n">
        <x:v>62</x:v>
      </x:c>
      <x:c r="H687" s="22" t="n">
        <x:v>140</x:v>
      </x:c>
      <x:c r="I687" t="n">
        <x:v>81</x:v>
      </x:c>
      <x:c r="J687" t="n">
        <x:v>0</x:v>
      </x:c>
    </x:row>
    <x:row r="688" ht="18" customHeight="1">
      <x:c r="A688" t="str">
        <x:v>60-343-3288</x:v>
      </x:c>
      <x:c r="B688" t="str">
        <x:v>Tilapia</x:v>
      </x:c>
      <x:c r="C688" t="str">
        <x:v>Vipe</x:v>
      </x:c>
      <x:c r="D688" t="str">
        <x:v>Seafood</x:v>
      </x:c>
      <x:c r="E688" t="str">
        <x:v>Backordered</x:v>
      </x:c>
      <x:c r="F688" t="n">
        <x:v>85</x:v>
      </x:c>
      <x:c r="G688" t="n">
        <x:v>92</x:v>
      </x:c>
      <x:c r="H688" s="22" t="n">
        <x:v>569.5</x:v>
      </x:c>
      <x:c r="I688" t="n">
        <x:v>66</x:v>
      </x:c>
      <x:c r="J688" t="n">
        <x:v>66</x:v>
      </x:c>
    </x:row>
    <x:row r="689" ht="18" customHeight="1">
      <x:c r="A689" t="str">
        <x:v>21-650-9319</x:v>
      </x:c>
      <x:c r="B689" t="str">
        <x:v>White Bread</x:v>
      </x:c>
      <x:c r="C689" t="str">
        <x:v>Jazzy</x:v>
      </x:c>
      <x:c r="D689" t="str">
        <x:v>Bakery</x:v>
      </x:c>
      <x:c r="E689" t="str">
        <x:v>Backordered</x:v>
      </x:c>
      <x:c r="F689" t="n">
        <x:v>42</x:v>
      </x:c>
      <x:c r="G689" t="n">
        <x:v>88</x:v>
      </x:c>
      <x:c r="H689" s="22" t="n">
        <x:v>105</x:v>
      </x:c>
      <x:c r="I689" t="n">
        <x:v>95</x:v>
      </x:c>
      <x:c r="J689" t="n">
        <x:v>95</x:v>
      </x:c>
    </x:row>
    <x:row r="690" ht="18" customHeight="1">
      <x:c r="A690" t="str">
        <x:v>14-550-2152</x:v>
      </x:c>
      <x:c r="B690" t="str">
        <x:v>Green Tea</x:v>
      </x:c>
      <x:c r="C690" t="str">
        <x:v>Livepath</x:v>
      </x:c>
      <x:c r="D690" t="str">
        <x:v>Beverages</x:v>
      </x:c>
      <x:c r="E690" t="str">
        <x:v>Active</x:v>
      </x:c>
      <x:c r="F690" t="n">
        <x:v>51</x:v>
      </x:c>
      <x:c r="G690" t="n">
        <x:v>1</x:v>
      </x:c>
      <x:c r="H690" s="22" t="n">
        <x:v>387.6</x:v>
      </x:c>
      <x:c r="I690" t="n">
        <x:v>61</x:v>
      </x:c>
      <x:c r="J690" t="n">
        <x:v>0</x:v>
      </x:c>
    </x:row>
    <x:row r="691" ht="18" customHeight="1">
      <x:c r="A691" t="str">
        <x:v>61-582-7399</x:v>
      </x:c>
      <x:c r="B691" t="str">
        <x:v>Apricot</x:v>
      </x:c>
      <x:c r="C691" t="str">
        <x:v>Topiczoom</x:v>
      </x:c>
      <x:c r="D691" t="str">
        <x:v>Fruits &amp; Vegetables</x:v>
      </x:c>
      <x:c r="E691" t="str">
        <x:v>Discontinued</x:v>
      </x:c>
      <x:c r="F691" t="n">
        <x:v>73</x:v>
      </x:c>
      <x:c r="G691" t="n">
        <x:v>83</x:v>
      </x:c>
      <x:c r="H691" s="22" t="n">
        <x:v>365</x:v>
      </x:c>
      <x:c r="I691" t="n">
        <x:v>74</x:v>
      </x:c>
      <x:c r="J691" t="n">
        <x:v>0</x:v>
      </x:c>
    </x:row>
    <x:row r="692" ht="18" customHeight="1">
      <x:c r="A692" t="str">
        <x:v>28-107-4953</x:v>
      </x:c>
      <x:c r="B692" t="str">
        <x:v>Chocolate Biscuit</x:v>
      </x:c>
      <x:c r="C692" t="str">
        <x:v>Babbleblab</x:v>
      </x:c>
      <x:c r="D692" t="str">
        <x:v>Bakery</x:v>
      </x:c>
      <x:c r="E692" t="str">
        <x:v>Discontinued</x:v>
      </x:c>
      <x:c r="F692" t="n">
        <x:v>53</x:v>
      </x:c>
      <x:c r="G692" t="n">
        <x:v>19</x:v>
      </x:c>
      <x:c r="H692" s="22" t="n">
        <x:v>265</x:v>
      </x:c>
      <x:c r="I692" t="n">
        <x:v>94</x:v>
      </x:c>
      <x:c r="J692" t="n">
        <x:v>0</x:v>
      </x:c>
    </x:row>
    <x:row r="693" ht="18" customHeight="1">
      <x:c r="A693" t="str">
        <x:v>53-050-8242</x:v>
      </x:c>
      <x:c r="B693" t="str">
        <x:v>Mackerel</x:v>
      </x:c>
      <x:c r="C693" t="str">
        <x:v>Yodoo</x:v>
      </x:c>
      <x:c r="D693" t="str">
        <x:v>Seafood</x:v>
      </x:c>
      <x:c r="E693" t="str">
        <x:v>Backordered</x:v>
      </x:c>
      <x:c r="F693" t="n">
        <x:v>82</x:v>
      </x:c>
      <x:c r="G693" t="n">
        <x:v>25</x:v>
      </x:c>
      <x:c r="H693" s="22" t="n">
        <x:v>615</x:v>
      </x:c>
      <x:c r="I693" t="n">
        <x:v>94</x:v>
      </x:c>
      <x:c r="J693" t="n">
        <x:v>0</x:v>
      </x:c>
    </x:row>
    <x:row r="694" ht="18" customHeight="1">
      <x:c r="A694" t="str">
        <x:v>88-586-8797</x:v>
      </x:c>
      <x:c r="B694" t="str">
        <x:v>Grapes</x:v>
      </x:c>
      <x:c r="C694" t="str">
        <x:v>Edgewire</x:v>
      </x:c>
      <x:c r="D694" t="str">
        <x:v>Fruits &amp; Vegetables</x:v>
      </x:c>
      <x:c r="E694" t="str">
        <x:v>Active</x:v>
      </x:c>
      <x:c r="F694" t="n">
        <x:v>98</x:v>
      </x:c>
      <x:c r="G694" t="n">
        <x:v>62</x:v>
      </x:c>
      <x:c r="H694" s="22" t="n">
        <x:v>539</x:v>
      </x:c>
      <x:c r="I694" t="n">
        <x:v>97</x:v>
      </x:c>
      <x:c r="J694" t="n">
        <x:v>0</x:v>
      </x:c>
    </x:row>
    <x:row r="695" ht="18" customHeight="1">
      <x:c r="A695" t="str">
        <x:v>93-772-3085</x:v>
      </x:c>
      <x:c r="B695" t="str">
        <x:v>Banana</x:v>
      </x:c>
      <x:c r="C695" t="str">
        <x:v>Edgetag</x:v>
      </x:c>
      <x:c r="D695" t="str">
        <x:v>Fruits &amp; Vegetables</x:v>
      </x:c>
      <x:c r="E695" t="str">
        <x:v>Active</x:v>
      </x:c>
      <x:c r="F695" t="n">
        <x:v>39</x:v>
      </x:c>
      <x:c r="G695" t="n">
        <x:v>19</x:v>
      </x:c>
      <x:c r="H695" s="22" t="n">
        <x:v>545.61</x:v>
      </x:c>
      <x:c r="I695" t="n">
        <x:v>18</x:v>
      </x:c>
      <x:c r="J695" t="n">
        <x:v>0</x:v>
      </x:c>
    </x:row>
    <x:row r="696" ht="18" customHeight="1">
      <x:c r="A696" t="str">
        <x:v>04-001-1793</x:v>
      </x:c>
      <x:c r="B696" t="str">
        <x:v>Green Coffee</x:v>
      </x:c>
      <x:c r="C696" t="str">
        <x:v>Oozz</x:v>
      </x:c>
      <x:c r="D696" t="str">
        <x:v>Beverages</x:v>
      </x:c>
      <x:c r="E696" t="str">
        <x:v>Backordered</x:v>
      </x:c>
      <x:c r="F696" t="n">
        <x:v>43</x:v>
      </x:c>
      <x:c r="G696" t="n">
        <x:v>38</x:v>
      </x:c>
      <x:c r="H696" s="22" t="n">
        <x:v>516</x:v>
      </x:c>
      <x:c r="I696" t="n">
        <x:v>63</x:v>
      </x:c>
      <x:c r="J696" t="n">
        <x:v>0</x:v>
      </x:c>
    </x:row>
    <x:row r="697" ht="18" customHeight="1">
      <x:c r="A697" t="str">
        <x:v>10-137-9759</x:v>
      </x:c>
      <x:c r="B697" t="str">
        <x:v>Watermelon</x:v>
      </x:c>
      <x:c r="C697" t="str">
        <x:v>Trupe</x:v>
      </x:c>
      <x:c r="D697" t="str">
        <x:v>Fruits &amp; Vegetables</x:v>
      </x:c>
      <x:c r="E697" t="str">
        <x:v>Backordered</x:v>
      </x:c>
      <x:c r="F697" t="n">
        <x:v>90</x:v>
      </x:c>
      <x:c r="G697" t="n">
        <x:v>17</x:v>
      </x:c>
      <x:c r="H697" s="22" t="n">
        <x:v>270</x:v>
      </x:c>
      <x:c r="I697" t="n">
        <x:v>17</x:v>
      </x:c>
      <x:c r="J697" t="n">
        <x:v>0</x:v>
      </x:c>
    </x:row>
    <x:row r="698" ht="18" customHeight="1">
      <x:c r="A698" t="str">
        <x:v>96-682-8546</x:v>
      </x:c>
      <x:c r="B698" t="str">
        <x:v>Egg (Chicken)</x:v>
      </x:c>
      <x:c r="C698" t="str">
        <x:v>Kaymbo</x:v>
      </x:c>
      <x:c r="D698" t="str">
        <x:v>Dairy</x:v>
      </x:c>
      <x:c r="E698" t="str">
        <x:v>Backordered</x:v>
      </x:c>
      <x:c r="F698" t="n">
        <x:v>70</x:v>
      </x:c>
      <x:c r="G698" t="n">
        <x:v>29</x:v>
      </x:c>
      <x:c r="H698" s="22" t="n">
        <x:v>14</x:v>
      </x:c>
      <x:c r="I698" t="n">
        <x:v>24</x:v>
      </x:c>
      <x:c r="J698" t="n">
        <x:v>0</x:v>
      </x:c>
    </x:row>
    <x:row r="699" ht="18" customHeight="1">
      <x:c r="A699" t="str">
        <x:v>07-617-6934</x:v>
      </x:c>
      <x:c r="B699" t="str">
        <x:v>Coconut Sugar</x:v>
      </x:c>
      <x:c r="C699" t="str">
        <x:v>Feedfire</x:v>
      </x:c>
      <x:c r="D699" t="str">
        <x:v>Grains &amp; Pulses</x:v>
      </x:c>
      <x:c r="E699" t="str">
        <x:v>Active</x:v>
      </x:c>
      <x:c r="F699" t="n">
        <x:v>91</x:v>
      </x:c>
      <x:c r="G699" t="n">
        <x:v>39</x:v>
      </x:c>
      <x:c r="H699" s="22" t="n">
        <x:v>455</x:v>
      </x:c>
      <x:c r="I699" t="n">
        <x:v>48</x:v>
      </x:c>
      <x:c r="J699" t="n">
        <x:v>0</x:v>
      </x:c>
    </x:row>
    <x:row r="700" ht="18" customHeight="1">
      <x:c r="A700" t="str">
        <x:v>43-164-5984</x:v>
      </x:c>
      <x:c r="B700" t="str">
        <x:v>Butter</x:v>
      </x:c>
      <x:c r="C700" t="str">
        <x:v>Shuffletag</x:v>
      </x:c>
      <x:c r="D700" t="str">
        <x:v>Dairy</x:v>
      </x:c>
      <x:c r="E700" t="str">
        <x:v>Discontinued</x:v>
      </x:c>
      <x:c r="F700" t="n">
        <x:v>36</x:v>
      </x:c>
      <x:c r="G700" t="n">
        <x:v>75</x:v>
      </x:c>
      <x:c r="H700" s="22" t="n">
        <x:v>104.4</x:v>
      </x:c>
      <x:c r="I700" t="n">
        <x:v>35</x:v>
      </x:c>
      <x:c r="J700" t="n">
        <x:v>0</x:v>
      </x:c>
    </x:row>
    <x:row r="701" ht="18" customHeight="1">
      <x:c r="A701" t="str">
        <x:v>07-074-1196</x:v>
      </x:c>
      <x:c r="B701" t="str">
        <x:v>Plum</x:v>
      </x:c>
      <x:c r="C701" t="str">
        <x:v>Skajo</x:v>
      </x:c>
      <x:c r="D701" t="str">
        <x:v>Fruits &amp; Vegetables</x:v>
      </x:c>
      <x:c r="E701" t="str">
        <x:v>Backordered</x:v>
      </x:c>
      <x:c r="F701" t="n">
        <x:v>11</x:v>
      </x:c>
      <x:c r="G701" t="n">
        <x:v>56</x:v>
      </x:c>
      <x:c r="H701" s="22" t="n">
        <x:v>42.9</x:v>
      </x:c>
      <x:c r="I701" t="n">
        <x:v>62</x:v>
      </x:c>
      <x:c r="J701" t="n">
        <x:v>62</x:v>
      </x:c>
    </x:row>
    <x:row r="702" ht="18" customHeight="1">
      <x:c r="A702" t="str">
        <x:v>05-193-8096</x:v>
      </x:c>
      <x:c r="B702" t="str">
        <x:v>Grapes</x:v>
      </x:c>
      <x:c r="C702" t="str">
        <x:v>Rhynoodle</x:v>
      </x:c>
      <x:c r="D702" t="str">
        <x:v>Fruits &amp; Vegetables</x:v>
      </x:c>
      <x:c r="E702" t="str">
        <x:v>Backordered</x:v>
      </x:c>
      <x:c r="F702" t="n">
        <x:v>82</x:v>
      </x:c>
      <x:c r="G702" t="n">
        <x:v>21</x:v>
      </x:c>
      <x:c r="H702" s="22" t="n">
        <x:v>451</x:v>
      </x:c>
      <x:c r="I702" t="n">
        <x:v>85</x:v>
      </x:c>
      <x:c r="J702" t="n">
        <x:v>0</x:v>
      </x:c>
    </x:row>
    <x:row r="703" ht="18" customHeight="1">
      <x:c r="A703" t="str">
        <x:v>92-837-8839</x:v>
      </x:c>
      <x:c r="B703" t="str">
        <x:v>Vegetable Oil</x:v>
      </x:c>
      <x:c r="C703" t="str">
        <x:v>Yoveo</x:v>
      </x:c>
      <x:c r="D703" t="str">
        <x:v>Oils &amp; Fats</x:v>
      </x:c>
      <x:c r="E703" t="str">
        <x:v>Discontinued</x:v>
      </x:c>
      <x:c r="F703" t="n">
        <x:v>23</x:v>
      </x:c>
      <x:c r="G703" t="n">
        <x:v>71</x:v>
      </x:c>
      <x:c r="H703" s="22" t="n">
        <x:v>46</x:v>
      </x:c>
      <x:c r="I703" t="n">
        <x:v>32</x:v>
      </x:c>
      <x:c r="J703" t="n">
        <x:v>0</x:v>
      </x:c>
    </x:row>
    <x:row r="704" ht="18" customHeight="1">
      <x:c r="A704" t="str">
        <x:v>60-343-7973</x:v>
      </x:c>
      <x:c r="B704" t="str">
        <x:v>Multigrain Bread</x:v>
      </x:c>
      <x:c r="C704" t="str">
        <x:v>Zoombox</x:v>
      </x:c>
      <x:c r="D704" t="str">
        <x:v>Bakery</x:v>
      </x:c>
      <x:c r="E704" t="str">
        <x:v>Backordered</x:v>
      </x:c>
      <x:c r="F704" t="n">
        <x:v>56</x:v>
      </x:c>
      <x:c r="G704" t="n">
        <x:v>86</x:v>
      </x:c>
      <x:c r="H704" s="22" t="n">
        <x:v>179.2</x:v>
      </x:c>
      <x:c r="I704" t="n">
        <x:v>23</x:v>
      </x:c>
      <x:c r="J704" t="n">
        <x:v>30</x:v>
      </x:c>
    </x:row>
    <x:row r="705" ht="18" customHeight="1">
      <x:c r="A705" t="str">
        <x:v>76-264-0748</x:v>
      </x:c>
      <x:c r="B705" t="str">
        <x:v>Eggplant</x:v>
      </x:c>
      <x:c r="C705" t="str">
        <x:v>Roombo</x:v>
      </x:c>
      <x:c r="D705" t="str">
        <x:v>Fruits &amp; Vegetables</x:v>
      </x:c>
      <x:c r="E705" t="str">
        <x:v>Active</x:v>
      </x:c>
      <x:c r="F705" t="n">
        <x:v>47</x:v>
      </x:c>
      <x:c r="G705" t="n">
        <x:v>41</x:v>
      </x:c>
      <x:c r="H705" s="22" t="n">
        <x:v>141</x:v>
      </x:c>
      <x:c r="I705" t="n">
        <x:v>63</x:v>
      </x:c>
      <x:c r="J705" t="n">
        <x:v>0</x:v>
      </x:c>
    </x:row>
    <x:row r="706" ht="18" customHeight="1">
      <x:c r="A706" t="str">
        <x:v>67-130-4114</x:v>
      </x:c>
      <x:c r="B706" t="str">
        <x:v>Bell Pepper</x:v>
      </x:c>
      <x:c r="C706" t="str">
        <x:v>Devcast</x:v>
      </x:c>
      <x:c r="D706" t="str">
        <x:v>Fruits &amp; Vegetables</x:v>
      </x:c>
      <x:c r="E706" t="str">
        <x:v>Backordered</x:v>
      </x:c>
      <x:c r="F706" t="n">
        <x:v>84</x:v>
      </x:c>
      <x:c r="G706" t="n">
        <x:v>26</x:v>
      </x:c>
      <x:c r="H706" s="22" t="n">
        <x:v>378</x:v>
      </x:c>
      <x:c r="I706" t="n">
        <x:v>37</x:v>
      </x:c>
      <x:c r="J706" t="n">
        <x:v>0</x:v>
      </x:c>
    </x:row>
    <x:row r="707" ht="18" customHeight="1">
      <x:c r="A707" t="str">
        <x:v>99-961-0767</x:v>
      </x:c>
      <x:c r="B707" t="str">
        <x:v>Heavy Cream</x:v>
      </x:c>
      <x:c r="C707" t="str">
        <x:v>Tambee</x:v>
      </x:c>
      <x:c r="D707" t="str">
        <x:v>Dairy</x:v>
      </x:c>
      <x:c r="E707" t="str">
        <x:v>Active</x:v>
      </x:c>
      <x:c r="F707" t="n">
        <x:v>85</x:v>
      </x:c>
      <x:c r="G707" t="n">
        <x:v>15</x:v>
      </x:c>
      <x:c r="H707" s="22" t="n">
        <x:v>340</x:v>
      </x:c>
      <x:c r="I707" t="n">
        <x:v>30</x:v>
      </x:c>
      <x:c r="J707" t="n">
        <x:v>0</x:v>
      </x:c>
    </x:row>
    <x:row r="708" ht="18" customHeight="1">
      <x:c r="A708" t="str">
        <x:v>24-228-6840</x:v>
      </x:c>
      <x:c r="B708" t="str">
        <x:v>Herbal Tea</x:v>
      </x:c>
      <x:c r="C708" t="str">
        <x:v>Myworks</x:v>
      </x:c>
      <x:c r="D708" t="str">
        <x:v>Beverages</x:v>
      </x:c>
      <x:c r="E708" t="str">
        <x:v>Backordered</x:v>
      </x:c>
      <x:c r="F708" t="n">
        <x:v>27</x:v>
      </x:c>
      <x:c r="G708" t="n">
        <x:v>1</x:v>
      </x:c>
      <x:c r="H708" s="22" t="n">
        <x:v>810</x:v>
      </x:c>
      <x:c r="I708" t="n">
        <x:v>3</x:v>
      </x:c>
      <x:c r="J708" t="n">
        <x:v>0</x:v>
      </x:c>
    </x:row>
    <x:row r="709" ht="18" customHeight="1">
      <x:c r="A709" t="str">
        <x:v>83-573-4586</x:v>
      </x:c>
      <x:c r="B709" t="str">
        <x:v>Sesame Oil</x:v>
      </x:c>
      <x:c r="C709" t="str">
        <x:v>Thoughtbeat</x:v>
      </x:c>
      <x:c r="D709" t="str">
        <x:v>Oils &amp; Fats</x:v>
      </x:c>
      <x:c r="E709" t="str">
        <x:v>Backordered</x:v>
      </x:c>
      <x:c r="F709" t="n">
        <x:v>77</x:v>
      </x:c>
      <x:c r="G709" t="n">
        <x:v>95</x:v>
      </x:c>
      <x:c r="H709" s="22" t="n">
        <x:v>500.5</x:v>
      </x:c>
      <x:c r="I709" t="n">
        <x:v>82</x:v>
      </x:c>
      <x:c r="J709" t="n">
        <x:v>82</x:v>
      </x:c>
    </x:row>
    <x:row r="710" ht="18" customHeight="1">
      <x:c r="A710" t="str">
        <x:v>80-698-0324</x:v>
      </x:c>
      <x:c r="B710" t="str">
        <x:v>Butter Biscuit</x:v>
      </x:c>
      <x:c r="C710" t="str">
        <x:v>Bluejam</x:v>
      </x:c>
      <x:c r="D710" t="str">
        <x:v>Bakery</x:v>
      </x:c>
      <x:c r="E710" t="str">
        <x:v>Active</x:v>
      </x:c>
      <x:c r="F710" t="n">
        <x:v>84</x:v>
      </x:c>
      <x:c r="G710" t="n">
        <x:v>58</x:v>
      </x:c>
      <x:c r="H710" s="22" t="n">
        <x:v>504</x:v>
      </x:c>
      <x:c r="I710" t="n">
        <x:v>28</x:v>
      </x:c>
      <x:c r="J710" t="n">
        <x:v>0</x:v>
      </x:c>
    </x:row>
    <x:row r="711" ht="18" customHeight="1">
      <x:c r="A711" t="str">
        <x:v>83-568-3475</x:v>
      </x:c>
      <x:c r="B711" t="str">
        <x:v>Halibut</x:v>
      </x:c>
      <x:c r="C711" t="str">
        <x:v>Camimbo</x:v>
      </x:c>
      <x:c r="D711" t="str">
        <x:v>Seafood</x:v>
      </x:c>
      <x:c r="E711" t="str">
        <x:v>Backordered</x:v>
      </x:c>
      <x:c r="F711" t="n">
        <x:v>35</x:v>
      </x:c>
      <x:c r="G711" t="n">
        <x:v>72</x:v>
      </x:c>
      <x:c r="H711" s="22" t="n">
        <x:v>700</x:v>
      </x:c>
      <x:c r="I711" t="n">
        <x:v>70</x:v>
      </x:c>
      <x:c r="J711" t="n">
        <x:v>70</x:v>
      </x:c>
    </x:row>
    <x:row r="712" ht="18" customHeight="1">
      <x:c r="A712" t="str">
        <x:v>15-846-7959</x:v>
      </x:c>
      <x:c r="B712" t="str">
        <x:v>Zucchini</x:v>
      </x:c>
      <x:c r="C712" t="str">
        <x:v>Vidoo</x:v>
      </x:c>
      <x:c r="D712" t="str">
        <x:v>Fruits &amp; Vegetables</x:v>
      </x:c>
      <x:c r="E712" t="str">
        <x:v>Discontinued</x:v>
      </x:c>
      <x:c r="F712" t="n">
        <x:v>98</x:v>
      </x:c>
      <x:c r="G712" t="n">
        <x:v>14</x:v>
      </x:c>
      <x:c r="H712" s="22" t="n">
        <x:v>245</x:v>
      </x:c>
      <x:c r="I712" t="n">
        <x:v>11</x:v>
      </x:c>
      <x:c r="J712" t="n">
        <x:v>0</x:v>
      </x:c>
    </x:row>
    <x:row r="713" ht="18" customHeight="1">
      <x:c r="A713" t="str">
        <x:v>98-148-0940</x:v>
      </x:c>
      <x:c r="B713" t="str">
        <x:v>Egg (Chicken)</x:v>
      </x:c>
      <x:c r="C713" t="str">
        <x:v>Babblestorm</x:v>
      </x:c>
      <x:c r="D713" t="str">
        <x:v>Dairy</x:v>
      </x:c>
      <x:c r="E713" t="str">
        <x:v>Active</x:v>
      </x:c>
      <x:c r="F713" t="n">
        <x:v>63</x:v>
      </x:c>
      <x:c r="G713" t="n">
        <x:v>62</x:v>
      </x:c>
      <x:c r="H713" s="22" t="n">
        <x:v>12.6</x:v>
      </x:c>
      <x:c r="I713" t="n">
        <x:v>18</x:v>
      </x:c>
      <x:c r="J713" t="n">
        <x:v>0</x:v>
      </x:c>
    </x:row>
    <x:row r="714" ht="18" customHeight="1">
      <x:c r="A714" t="str">
        <x:v>76-325-9093</x:v>
      </x:c>
      <x:c r="B714" t="str">
        <x:v>Sesame Oil</x:v>
      </x:c>
      <x:c r="C714" t="str">
        <x:v>Feedbug</x:v>
      </x:c>
      <x:c r="D714" t="str">
        <x:v>Oils &amp; Fats</x:v>
      </x:c>
      <x:c r="E714" t="str">
        <x:v>Discontinued</x:v>
      </x:c>
      <x:c r="F714" t="n">
        <x:v>27</x:v>
      </x:c>
      <x:c r="G714" t="n">
        <x:v>92</x:v>
      </x:c>
      <x:c r="H714" s="22" t="n">
        <x:v>175.5</x:v>
      </x:c>
      <x:c r="I714" t="n">
        <x:v>56</x:v>
      </x:c>
      <x:c r="J714" t="n">
        <x:v>0</x:v>
      </x:c>
    </x:row>
    <x:row r="715" ht="18" customHeight="1">
      <x:c r="A715" t="str">
        <x:v>10-034-7654</x:v>
      </x:c>
      <x:c r="B715" t="str">
        <x:v>Bread Flour</x:v>
      </x:c>
      <x:c r="C715" t="str">
        <x:v>Zava</x:v>
      </x:c>
      <x:c r="D715" t="str">
        <x:v>Grains &amp; Pulses</x:v>
      </x:c>
      <x:c r="E715" t="str">
        <x:v>Backordered</x:v>
      </x:c>
      <x:c r="F715" t="n">
        <x:v>70</x:v>
      </x:c>
      <x:c r="G715" t="n">
        <x:v>96</x:v>
      </x:c>
      <x:c r="H715" s="22" t="n">
        <x:v>105</x:v>
      </x:c>
      <x:c r="I715" t="n">
        <x:v>92</x:v>
      </x:c>
      <x:c r="J715" t="n">
        <x:v>92</x:v>
      </x:c>
    </x:row>
    <x:row r="716" ht="18" customHeight="1">
      <x:c r="A716" t="str">
        <x:v>21-633-8696</x:v>
      </x:c>
      <x:c r="B716" t="str">
        <x:v>Coconut Sugar</x:v>
      </x:c>
      <x:c r="C716" t="str">
        <x:v>Topiclounge</x:v>
      </x:c>
      <x:c r="D716" t="str">
        <x:v>Grains &amp; Pulses</x:v>
      </x:c>
      <x:c r="E716" t="str">
        <x:v>Discontinued</x:v>
      </x:c>
      <x:c r="F716" t="n">
        <x:v>49</x:v>
      </x:c>
      <x:c r="G716" t="n">
        <x:v>59</x:v>
      </x:c>
      <x:c r="H716" s="22" t="n">
        <x:v>245</x:v>
      </x:c>
      <x:c r="I716" t="n">
        <x:v>73</x:v>
      </x:c>
      <x:c r="J716" t="n">
        <x:v>0</x:v>
      </x:c>
    </x:row>
    <x:row r="717" ht="18" customHeight="1">
      <x:c r="A717" t="str">
        <x:v>74-181-4135</x:v>
      </x:c>
      <x:c r="B717" t="str">
        <x:v>Egg (Chicken)</x:v>
      </x:c>
      <x:c r="C717" t="str">
        <x:v>Meembee</x:v>
      </x:c>
      <x:c r="D717" t="str">
        <x:v>Dairy</x:v>
      </x:c>
      <x:c r="E717" t="str">
        <x:v>Discontinued</x:v>
      </x:c>
      <x:c r="F717" t="n">
        <x:v>22</x:v>
      </x:c>
      <x:c r="G717" t="n">
        <x:v>19</x:v>
      </x:c>
      <x:c r="H717" s="22" t="n">
        <x:v>4.4</x:v>
      </x:c>
      <x:c r="I717" t="n">
        <x:v>4</x:v>
      </x:c>
      <x:c r="J717" t="n">
        <x:v>0</x:v>
      </x:c>
    </x:row>
    <x:row r="718" ht="18" customHeight="1">
      <x:c r="A718" t="str">
        <x:v>98-064-4465</x:v>
      </x:c>
      <x:c r="B718" t="str">
        <x:v>Mozzarella Cheese</x:v>
      </x:c>
      <x:c r="C718" t="str">
        <x:v>Feedfire</x:v>
      </x:c>
      <x:c r="D718" t="str">
        <x:v>Dairy</x:v>
      </x:c>
      <x:c r="E718" t="str">
        <x:v>Active</x:v>
      </x:c>
      <x:c r="F718" t="n">
        <x:v>96</x:v>
      </x:c>
      <x:c r="G718" t="n">
        <x:v>38</x:v>
      </x:c>
      <x:c r="H718" s="22" t="n">
        <x:v>672</x:v>
      </x:c>
      <x:c r="I718" t="n">
        <x:v>17</x:v>
      </x:c>
      <x:c r="J718" t="n">
        <x:v>0</x:v>
      </x:c>
    </x:row>
    <x:row r="719" ht="18" customHeight="1">
      <x:c r="A719" t="str">
        <x:v>41-475-5305</x:v>
      </x:c>
      <x:c r="B719" t="str">
        <x:v>Rye Bread</x:v>
      </x:c>
      <x:c r="C719" t="str">
        <x:v>Kwideo</x:v>
      </x:c>
      <x:c r="D719" t="str">
        <x:v>Bakery</x:v>
      </x:c>
      <x:c r="E719" t="str">
        <x:v>Backordered</x:v>
      </x:c>
      <x:c r="F719" t="n">
        <x:v>61</x:v>
      </x:c>
      <x:c r="G719" t="n">
        <x:v>20</x:v>
      </x:c>
      <x:c r="H719" s="22" t="n">
        <x:v>183</x:v>
      </x:c>
      <x:c r="I719" t="n">
        <x:v>29</x:v>
      </x:c>
      <x:c r="J719" t="n">
        <x:v>0</x:v>
      </x:c>
    </x:row>
    <x:row r="720" ht="18" customHeight="1">
      <x:c r="A720" t="str">
        <x:v>80-988-4653</x:v>
      </x:c>
      <x:c r="B720" t="str">
        <x:v>Zucchini</x:v>
      </x:c>
      <x:c r="C720" t="str">
        <x:v>Livetube</x:v>
      </x:c>
      <x:c r="D720" t="str">
        <x:v>Fruits &amp; Vegetables</x:v>
      </x:c>
      <x:c r="E720" t="str">
        <x:v>Discontinued</x:v>
      </x:c>
      <x:c r="F720" t="n">
        <x:v>43</x:v>
      </x:c>
      <x:c r="G720" t="n">
        <x:v>66</x:v>
      </x:c>
      <x:c r="H720" s="22" t="n">
        <x:v>107.5</x:v>
      </x:c>
      <x:c r="I720" t="n">
        <x:v>85</x:v>
      </x:c>
      <x:c r="J720" t="n">
        <x:v>0</x:v>
      </x:c>
    </x:row>
    <x:row r="721" ht="18" customHeight="1">
      <x:c r="A721" t="str">
        <x:v>51-583-6029</x:v>
      </x:c>
      <x:c r="B721" t="str">
        <x:v>Digestive Biscuit</x:v>
      </x:c>
      <x:c r="C721" t="str">
        <x:v>Kanoodle</x:v>
      </x:c>
      <x:c r="D721" t="str">
        <x:v>Bakery</x:v>
      </x:c>
      <x:c r="E721" t="str">
        <x:v>Active</x:v>
      </x:c>
      <x:c r="F721" t="n">
        <x:v>38</x:v>
      </x:c>
      <x:c r="G721" t="n">
        <x:v>43</x:v>
      </x:c>
      <x:c r="H721" s="22" t="n">
        <x:v>152</x:v>
      </x:c>
      <x:c r="I721" t="n">
        <x:v>91</x:v>
      </x:c>
      <x:c r="J721" t="n">
        <x:v>91</x:v>
      </x:c>
    </x:row>
    <x:row r="722" ht="18" customHeight="1">
      <x:c r="A722" t="str">
        <x:v>63-270-7076</x:v>
      </x:c>
      <x:c r="B722" t="str">
        <x:v>Multigrain Bread</x:v>
      </x:c>
      <x:c r="C722" t="str">
        <x:v>Roombo</x:v>
      </x:c>
      <x:c r="D722" t="str">
        <x:v>Bakery</x:v>
      </x:c>
      <x:c r="E722" t="str">
        <x:v>Backordered</x:v>
      </x:c>
      <x:c r="F722" t="n">
        <x:v>65</x:v>
      </x:c>
      <x:c r="G722" t="n">
        <x:v>36</x:v>
      </x:c>
      <x:c r="H722" s="22" t="n">
        <x:v>227.5</x:v>
      </x:c>
      <x:c r="I722" t="n">
        <x:v>37</x:v>
      </x:c>
      <x:c r="J722" t="n">
        <x:v>0</x:v>
      </x:c>
    </x:row>
    <x:row r="723" ht="18" customHeight="1">
      <x:c r="A723" t="str">
        <x:v>70-149-6756</x:v>
      </x:c>
      <x:c r="B723" t="str">
        <x:v>Heavy Cream</x:v>
      </x:c>
      <x:c r="C723" t="str">
        <x:v>Skynoodle</x:v>
      </x:c>
      <x:c r="D723" t="str">
        <x:v>Dairy</x:v>
      </x:c>
      <x:c r="E723" t="str">
        <x:v>Discontinued</x:v>
      </x:c>
      <x:c r="F723" t="n">
        <x:v>14</x:v>
      </x:c>
      <x:c r="G723" t="n">
        <x:v>99</x:v>
      </x:c>
      <x:c r="H723" s="22" t="n">
        <x:v>58.8</x:v>
      </x:c>
      <x:c r="I723" t="n">
        <x:v>97</x:v>
      </x:c>
      <x:c r="J723" t="n">
        <x:v>0</x:v>
      </x:c>
    </x:row>
    <x:row r="724" ht="18" customHeight="1">
      <x:c r="A724" t="str">
        <x:v>98-909-9395</x:v>
      </x:c>
      <x:c r="B724" t="str">
        <x:v>Cottage Cheese</x:v>
      </x:c>
      <x:c r="C724" t="str">
        <x:v>Feedfire</x:v>
      </x:c>
      <x:c r="D724" t="str">
        <x:v>Dairy</x:v>
      </x:c>
      <x:c r="E724" t="str">
        <x:v>Backordered</x:v>
      </x:c>
      <x:c r="F724" t="n">
        <x:v>67</x:v>
      </x:c>
      <x:c r="G724" t="n">
        <x:v>98</x:v>
      </x:c>
      <x:c r="H724" s="22" t="n">
        <x:v>335</x:v>
      </x:c>
      <x:c r="I724" t="n">
        <x:v>92</x:v>
      </x:c>
      <x:c r="J724" t="n">
        <x:v>92</x:v>
      </x:c>
    </x:row>
    <x:row r="725" ht="18" customHeight="1">
      <x:c r="A725" t="str">
        <x:v>35-621-2546</x:v>
      </x:c>
      <x:c r="B725" t="str">
        <x:v>Swiss Cheese</x:v>
      </x:c>
      <x:c r="C725" t="str">
        <x:v>Skiptube</x:v>
      </x:c>
      <x:c r="D725" t="str">
        <x:v>Dairy</x:v>
      </x:c>
      <x:c r="E725" t="str">
        <x:v>Discontinued</x:v>
      </x:c>
      <x:c r="F725" t="n">
        <x:v>85</x:v>
      </x:c>
      <x:c r="G725" t="n">
        <x:v>89</x:v>
      </x:c>
      <x:c r="H725" s="22" t="n">
        <x:v>680</x:v>
      </x:c>
      <x:c r="I725" t="n">
        <x:v>41</x:v>
      </x:c>
      <x:c r="J725" t="n">
        <x:v>0</x:v>
      </x:c>
    </x:row>
    <x:row r="726" ht="18" customHeight="1">
      <x:c r="A726" t="str">
        <x:v>24-579-6500</x:v>
      </x:c>
      <x:c r="B726" t="str">
        <x:v>Anchovies</x:v>
      </x:c>
      <x:c r="C726" t="str">
        <x:v>Zoovu</x:v>
      </x:c>
      <x:c r="D726" t="str">
        <x:v>Seafood</x:v>
      </x:c>
      <x:c r="E726" t="str">
        <x:v>Active</x:v>
      </x:c>
      <x:c r="F726" t="n">
        <x:v>93</x:v>
      </x:c>
      <x:c r="G726" t="n">
        <x:v>51</x:v>
      </x:c>
      <x:c r="H726" s="22" t="n">
        <x:v>930</x:v>
      </x:c>
      <x:c r="I726" t="n">
        <x:v>70</x:v>
      </x:c>
      <x:c r="J726" t="n">
        <x:v>0</x:v>
      </x:c>
    </x:row>
    <x:row r="727" ht="18" customHeight="1">
      <x:c r="A727" t="str">
        <x:v>01-703-8441</x:v>
      </x:c>
      <x:c r="B727" t="str">
        <x:v>Raw Sugar</x:v>
      </x:c>
      <x:c r="C727" t="str">
        <x:v>Cogilith</x:v>
      </x:c>
      <x:c r="D727" t="str">
        <x:v>Grains &amp; Pulses</x:v>
      </x:c>
      <x:c r="E727" t="str">
        <x:v>Backordered</x:v>
      </x:c>
      <x:c r="F727" t="n">
        <x:v>100</x:v>
      </x:c>
      <x:c r="G727" t="n">
        <x:v>10</x:v>
      </x:c>
      <x:c r="H727" s="22" t="n">
        <x:v>150</x:v>
      </x:c>
      <x:c r="I727" t="n">
        <x:v>89</x:v>
      </x:c>
      <x:c r="J727" t="n">
        <x:v>0</x:v>
      </x:c>
    </x:row>
    <x:row r="728" ht="18" customHeight="1">
      <x:c r="A728" t="str">
        <x:v>61-796-6540</x:v>
      </x:c>
      <x:c r="B728" t="str">
        <x:v>Ricotta Cheese</x:v>
      </x:c>
      <x:c r="C728" t="str">
        <x:v>Fliptune</x:v>
      </x:c>
      <x:c r="D728" t="str">
        <x:v>Dairy</x:v>
      </x:c>
      <x:c r="E728" t="str">
        <x:v>Discontinued</x:v>
      </x:c>
      <x:c r="F728" t="n">
        <x:v>88</x:v>
      </x:c>
      <x:c r="G728" t="n">
        <x:v>4</x:v>
      </x:c>
      <x:c r="H728" s="22" t="n">
        <x:v>528</x:v>
      </x:c>
      <x:c r="I728" t="n">
        <x:v>79</x:v>
      </x:c>
      <x:c r="J728" t="n">
        <x:v>0</x:v>
      </x:c>
    </x:row>
    <x:row r="729" ht="18" customHeight="1">
      <x:c r="A729" t="str">
        <x:v>16-354-8122</x:v>
      </x:c>
      <x:c r="B729" t="str">
        <x:v>Digestive Biscuit</x:v>
      </x:c>
      <x:c r="C729" t="str">
        <x:v>BlogXS</x:v>
      </x:c>
      <x:c r="D729" t="str">
        <x:v>Bakery</x:v>
      </x:c>
      <x:c r="E729" t="str">
        <x:v>Backordered</x:v>
      </x:c>
      <x:c r="F729" t="n">
        <x:v>97</x:v>
      </x:c>
      <x:c r="G729" t="n">
        <x:v>99</x:v>
      </x:c>
      <x:c r="H729" s="22" t="n">
        <x:v>388</x:v>
      </x:c>
      <x:c r="I729" t="n">
        <x:v>96</x:v>
      </x:c>
      <x:c r="J729" t="n">
        <x:v>96</x:v>
      </x:c>
    </x:row>
    <x:row r="730" ht="18" customHeight="1">
      <x:c r="A730" t="str">
        <x:v>67-512-9754</x:v>
      </x:c>
      <x:c r="B730" t="str">
        <x:v>Egg (Turkey)</x:v>
      </x:c>
      <x:c r="C730" t="str">
        <x:v>DabZ</x:v>
      </x:c>
      <x:c r="D730" t="str">
        <x:v>Dairy</x:v>
      </x:c>
      <x:c r="E730" t="str">
        <x:v>Discontinued</x:v>
      </x:c>
      <x:c r="F730" t="n">
        <x:v>19</x:v>
      </x:c>
      <x:c r="G730" t="n">
        <x:v>100</x:v>
      </x:c>
      <x:c r="H730" s="22" t="n">
        <x:v>47.5</x:v>
      </x:c>
      <x:c r="I730" t="n">
        <x:v>83</x:v>
      </x:c>
      <x:c r="J730" t="n">
        <x:v>0</x:v>
      </x:c>
    </x:row>
    <x:row r="731" ht="18" customHeight="1">
      <x:c r="A731" t="str">
        <x:v>11-316-8405</x:v>
      </x:c>
      <x:c r="B731" t="str">
        <x:v>Mango</x:v>
      </x:c>
      <x:c r="C731" t="str">
        <x:v>Twitternation</x:v>
      </x:c>
      <x:c r="D731" t="str">
        <x:v>Fruits &amp; Vegetables</x:v>
      </x:c>
      <x:c r="E731" t="str">
        <x:v>Discontinued</x:v>
      </x:c>
      <x:c r="F731" t="n">
        <x:v>24</x:v>
      </x:c>
      <x:c r="G731" t="n">
        <x:v>55</x:v>
      </x:c>
      <x:c r="H731" s="22" t="n">
        <x:v>120</x:v>
      </x:c>
      <x:c r="I731" t="n">
        <x:v>51</x:v>
      </x:c>
      <x:c r="J731" t="n">
        <x:v>0</x:v>
      </x:c>
    </x:row>
    <x:row r="732" ht="18" customHeight="1">
      <x:c r="A732" t="str">
        <x:v>36-372-2295</x:v>
      </x:c>
      <x:c r="B732" t="str">
        <x:v>Basmati Rice</x:v>
      </x:c>
      <x:c r="C732" t="str">
        <x:v>Skimia</x:v>
      </x:c>
      <x:c r="D732" t="str">
        <x:v>Grains &amp; Pulses</x:v>
      </x:c>
      <x:c r="E732" t="str">
        <x:v>Backordered</x:v>
      </x:c>
      <x:c r="F732" t="n">
        <x:v>55</x:v>
      </x:c>
      <x:c r="G732" t="n">
        <x:v>13</x:v>
      </x:c>
      <x:c r="H732" s="22" t="n">
        <x:v>244.75</x:v>
      </x:c>
      <x:c r="I732" t="n">
        <x:v>71</x:v>
      </x:c>
      <x:c r="J732" t="n">
        <x:v>0</x:v>
      </x:c>
    </x:row>
    <x:row r="733" ht="18" customHeight="1">
      <x:c r="A733" t="str">
        <x:v>84-075-7647</x:v>
      </x:c>
      <x:c r="B733" t="str">
        <x:v>Canola Oil</x:v>
      </x:c>
      <x:c r="C733" t="str">
        <x:v>Mydeo</x:v>
      </x:c>
      <x:c r="D733" t="str">
        <x:v>Oils &amp; Fats</x:v>
      </x:c>
      <x:c r="E733" t="str">
        <x:v>Discontinued</x:v>
      </x:c>
      <x:c r="F733" t="n">
        <x:v>91</x:v>
      </x:c>
      <x:c r="G733" t="n">
        <x:v>82</x:v>
      </x:c>
      <x:c r="H733" s="22" t="n">
        <x:v>209.3</x:v>
      </x:c>
      <x:c r="I733" t="n">
        <x:v>58</x:v>
      </x:c>
      <x:c r="J733" t="n">
        <x:v>0</x:v>
      </x:c>
    </x:row>
    <x:row r="734" ht="18" customHeight="1">
      <x:c r="A734" t="str">
        <x:v>08-226-5155</x:v>
      </x:c>
      <x:c r="B734" t="str">
        <x:v>Bell Pepper</x:v>
      </x:c>
      <x:c r="C734" t="str">
        <x:v>Zava</x:v>
      </x:c>
      <x:c r="D734" t="str">
        <x:v>Fruits &amp; Vegetables</x:v>
      </x:c>
      <x:c r="E734" t="str">
        <x:v>Backordered</x:v>
      </x:c>
      <x:c r="F734" t="n">
        <x:v>49</x:v>
      </x:c>
      <x:c r="G734" t="n">
        <x:v>93</x:v>
      </x:c>
      <x:c r="H734" s="22" t="n">
        <x:v>220.5</x:v>
      </x:c>
      <x:c r="I734" t="n">
        <x:v>15</x:v>
      </x:c>
      <x:c r="J734" t="n">
        <x:v>44</x:v>
      </x:c>
    </x:row>
    <x:row r="735" ht="18" customHeight="1">
      <x:c r="A735" t="str">
        <x:v>46-496-2930</x:v>
      </x:c>
      <x:c r="B735" t="str">
        <x:v>Pomegranate</x:v>
      </x:c>
      <x:c r="C735" t="str">
        <x:v>Eare</x:v>
      </x:c>
      <x:c r="D735" t="str">
        <x:v>Fruits &amp; Vegetables</x:v>
      </x:c>
      <x:c r="E735" t="str">
        <x:v>Backordered</x:v>
      </x:c>
      <x:c r="F735" t="n">
        <x:v>66</x:v>
      </x:c>
      <x:c r="G735" t="n">
        <x:v>28</x:v>
      </x:c>
      <x:c r="H735" s="22" t="n">
        <x:v>396</x:v>
      </x:c>
      <x:c r="I735" t="n">
        <x:v>7</x:v>
      </x:c>
      <x:c r="J735" t="n">
        <x:v>0</x:v>
      </x:c>
    </x:row>
    <x:row r="736" ht="18" customHeight="1">
      <x:c r="A736" t="str">
        <x:v>00-215-7434</x:v>
      </x:c>
      <x:c r="B736" t="str">
        <x:v>Egg (Goose)</x:v>
      </x:c>
      <x:c r="C736" t="str">
        <x:v>Quatz</x:v>
      </x:c>
      <x:c r="D736" t="str">
        <x:v>Dairy</x:v>
      </x:c>
      <x:c r="E736" t="str">
        <x:v>Backordered</x:v>
      </x:c>
      <x:c r="F736" t="n">
        <x:v>14</x:v>
      </x:c>
      <x:c r="G736" t="n">
        <x:v>63</x:v>
      </x:c>
      <x:c r="H736" s="22" t="n">
        <x:v>35</x:v>
      </x:c>
      <x:c r="I736" t="n">
        <x:v>74</x:v>
      </x:c>
      <x:c r="J736" t="n">
        <x:v>74</x:v>
      </x:c>
    </x:row>
    <x:row r="737" ht="18" customHeight="1">
      <x:c r="A737" t="str">
        <x:v>12-828-1063</x:v>
      </x:c>
      <x:c r="B737" t="str">
        <x:v>Mozzarella Cheese</x:v>
      </x:c>
      <x:c r="C737" t="str">
        <x:v>Buzzdog</x:v>
      </x:c>
      <x:c r="D737" t="str">
        <x:v>Dairy</x:v>
      </x:c>
      <x:c r="E737" t="str">
        <x:v>Discontinued</x:v>
      </x:c>
      <x:c r="F737" t="n">
        <x:v>36</x:v>
      </x:c>
      <x:c r="G737" t="n">
        <x:v>82</x:v>
      </x:c>
      <x:c r="H737" s="22" t="n">
        <x:v>255.6</x:v>
      </x:c>
      <x:c r="I737" t="n">
        <x:v>85</x:v>
      </x:c>
      <x:c r="J737" t="n">
        <x:v>0</x:v>
      </x:c>
    </x:row>
    <x:row r="738" ht="18" customHeight="1">
      <x:c r="A738" t="str">
        <x:v>48-770-6319</x:v>
      </x:c>
      <x:c r="B738" t="str">
        <x:v>Egg (Duck)</x:v>
      </x:c>
      <x:c r="C738" t="str">
        <x:v>Fivebridge</x:v>
      </x:c>
      <x:c r="D738" t="str">
        <x:v>Dairy</x:v>
      </x:c>
      <x:c r="E738" t="str">
        <x:v>Backordered</x:v>
      </x:c>
      <x:c r="F738" t="n">
        <x:v>52</x:v>
      </x:c>
      <x:c r="G738" t="n">
        <x:v>31</x:v>
      </x:c>
      <x:c r="H738" s="22" t="n">
        <x:v>52</x:v>
      </x:c>
      <x:c r="I738" t="n">
        <x:v>18</x:v>
      </x:c>
      <x:c r="J738" t="n">
        <x:v>0</x:v>
      </x:c>
    </x:row>
    <x:row r="739" ht="18" customHeight="1">
      <x:c r="A739" t="str">
        <x:v>44-305-1866</x:v>
      </x:c>
      <x:c r="B739" t="str">
        <x:v>Butter</x:v>
      </x:c>
      <x:c r="C739" t="str">
        <x:v>Jayo</x:v>
      </x:c>
      <x:c r="D739" t="str">
        <x:v>Dairy</x:v>
      </x:c>
      <x:c r="E739" t="str">
        <x:v>Discontinued</x:v>
      </x:c>
      <x:c r="F739" t="n">
        <x:v>48</x:v>
      </x:c>
      <x:c r="G739" t="n">
        <x:v>71</x:v>
      </x:c>
      <x:c r="H739" s="22" t="n">
        <x:v>144</x:v>
      </x:c>
      <x:c r="I739" t="n">
        <x:v>86</x:v>
      </x:c>
      <x:c r="J739" t="n">
        <x:v>0</x:v>
      </x:c>
    </x:row>
    <x:row r="740" ht="18" customHeight="1">
      <x:c r="A740" t="str">
        <x:v>97-283-4840</x:v>
      </x:c>
      <x:c r="B740" t="str">
        <x:v>Palm Oil</x:v>
      </x:c>
      <x:c r="C740" t="str">
        <x:v>Browsetype</x:v>
      </x:c>
      <x:c r="D740" t="str">
        <x:v>Oils &amp; Fats</x:v>
      </x:c>
      <x:c r="E740" t="str">
        <x:v>Backordered</x:v>
      </x:c>
      <x:c r="F740" t="n">
        <x:v>58</x:v>
      </x:c>
      <x:c r="G740" t="n">
        <x:v>23</x:v>
      </x:c>
      <x:c r="H740" s="22" t="n">
        <x:v>104.4</x:v>
      </x:c>
      <x:c r="I740" t="n">
        <x:v>66</x:v>
      </x:c>
      <x:c r="J740" t="n">
        <x:v>0</x:v>
      </x:c>
    </x:row>
    <x:row r="741" ht="18" customHeight="1">
      <x:c r="A741" t="str">
        <x:v>35-328-8392</x:v>
      </x:c>
      <x:c r="B741" t="str">
        <x:v>Long Grain Rice</x:v>
      </x:c>
      <x:c r="C741" t="str">
        <x:v>Ainyx</x:v>
      </x:c>
      <x:c r="D741" t="str">
        <x:v>Grains &amp; Pulses</x:v>
      </x:c>
      <x:c r="E741" t="str">
        <x:v>Backordered</x:v>
      </x:c>
      <x:c r="F741" t="n">
        <x:v>39</x:v>
      </x:c>
      <x:c r="G741" t="n">
        <x:v>2</x:v>
      </x:c>
      <x:c r="H741" s="22" t="n">
        <x:v>56.55</x:v>
      </x:c>
      <x:c r="I741" t="n">
        <x:v>71</x:v>
      </x:c>
      <x:c r="J741" t="n">
        <x:v>0</x:v>
      </x:c>
    </x:row>
    <x:row r="742" ht="18" customHeight="1">
      <x:c r="A742" t="str">
        <x:v>43-693-2092</x:v>
      </x:c>
      <x:c r="B742" t="str">
        <x:v>Butter</x:v>
      </x:c>
      <x:c r="C742" t="str">
        <x:v>Kayveo</x:v>
      </x:c>
      <x:c r="D742" t="str">
        <x:v>Dairy</x:v>
      </x:c>
      <x:c r="E742" t="str">
        <x:v>Discontinued</x:v>
      </x:c>
      <x:c r="F742" t="n">
        <x:v>51</x:v>
      </x:c>
      <x:c r="G742" t="n">
        <x:v>100</x:v>
      </x:c>
      <x:c r="H742" s="22" t="n">
        <x:v>153</x:v>
      </x:c>
      <x:c r="I742" t="n">
        <x:v>70</x:v>
      </x:c>
      <x:c r="J742" t="n">
        <x:v>0</x:v>
      </x:c>
    </x:row>
    <x:row r="743" ht="18" customHeight="1">
      <x:c r="A743" t="str">
        <x:v>47-802-5023</x:v>
      </x:c>
      <x:c r="B743" t="str">
        <x:v>Cod</x:v>
      </x:c>
      <x:c r="C743" t="str">
        <x:v>Buzzster</x:v>
      </x:c>
      <x:c r="D743" t="str">
        <x:v>Seafood</x:v>
      </x:c>
      <x:c r="E743" t="str">
        <x:v>Active</x:v>
      </x:c>
      <x:c r="F743" t="n">
        <x:v>16</x:v>
      </x:c>
      <x:c r="G743" t="n">
        <x:v>20</x:v>
      </x:c>
      <x:c r="H743" s="22" t="n">
        <x:v>128</x:v>
      </x:c>
      <x:c r="I743" t="n">
        <x:v>45</x:v>
      </x:c>
      <x:c r="J743" t="n">
        <x:v>45</x:v>
      </x:c>
    </x:row>
    <x:row r="744" ht="18" customHeight="1">
      <x:c r="A744" t="str">
        <x:v>24-009-1208</x:v>
      </x:c>
      <x:c r="B744" t="str">
        <x:v>White Tea</x:v>
      </x:c>
      <x:c r="C744" t="str">
        <x:v>Aivee</x:v>
      </x:c>
      <x:c r="D744" t="str">
        <x:v>Beverages</x:v>
      </x:c>
      <x:c r="E744" t="str">
        <x:v>Backordered</x:v>
      </x:c>
      <x:c r="F744" t="n">
        <x:v>62</x:v>
      </x:c>
      <x:c r="G744" t="n">
        <x:v>31</x:v>
      </x:c>
      <x:c r="H744" s="22" t="n">
        <x:v>1550</x:v>
      </x:c>
      <x:c r="I744" t="n">
        <x:v>24</x:v>
      </x:c>
      <x:c r="J744" t="n">
        <x:v>0</x:v>
      </x:c>
    </x:row>
    <x:row r="745" ht="18" customHeight="1">
      <x:c r="A745" t="str">
        <x:v>98-556-5323</x:v>
      </x:c>
      <x:c r="B745" t="str">
        <x:v>Pomegranate</x:v>
      </x:c>
      <x:c r="C745" t="str">
        <x:v>Dynabox</x:v>
      </x:c>
      <x:c r="D745" t="str">
        <x:v>Fruits &amp; Vegetables</x:v>
      </x:c>
      <x:c r="E745" t="str">
        <x:v>Active</x:v>
      </x:c>
      <x:c r="F745" t="n">
        <x:v>60</x:v>
      </x:c>
      <x:c r="G745" t="n">
        <x:v>61</x:v>
      </x:c>
      <x:c r="H745" s="22" t="n">
        <x:v>360</x:v>
      </x:c>
      <x:c r="I745" t="n">
        <x:v>2</x:v>
      </x:c>
      <x:c r="J745" t="n">
        <x:v>2</x:v>
      </x:c>
    </x:row>
    <x:row r="746" ht="18" customHeight="1">
      <x:c r="A746" t="str">
        <x:v>14-521-4167</x:v>
      </x:c>
      <x:c r="B746" t="str">
        <x:v>Buttermilk</x:v>
      </x:c>
      <x:c r="C746" t="str">
        <x:v>Vinder</x:v>
      </x:c>
      <x:c r="D746" t="str">
        <x:v>Dairy</x:v>
      </x:c>
      <x:c r="E746" t="str">
        <x:v>Discontinued</x:v>
      </x:c>
      <x:c r="F746" t="n">
        <x:v>47</x:v>
      </x:c>
      <x:c r="G746" t="n">
        <x:v>2</x:v>
      </x:c>
      <x:c r="H746" s="22" t="n">
        <x:v>117.5</x:v>
      </x:c>
      <x:c r="I746" t="n">
        <x:v>76</x:v>
      </x:c>
      <x:c r="J746" t="n">
        <x:v>0</x:v>
      </x:c>
    </x:row>
    <x:row r="747" ht="18" customHeight="1">
      <x:c r="A747" t="str">
        <x:v>61-607-7622</x:v>
      </x:c>
      <x:c r="B747" t="str">
        <x:v>Egg (Duck)</x:v>
      </x:c>
      <x:c r="C747" t="str">
        <x:v>Zoonoodle</x:v>
      </x:c>
      <x:c r="D747" t="str">
        <x:v>Dairy</x:v>
      </x:c>
      <x:c r="E747" t="str">
        <x:v>Discontinued</x:v>
      </x:c>
      <x:c r="F747" t="n">
        <x:v>23</x:v>
      </x:c>
      <x:c r="G747" t="n">
        <x:v>38</x:v>
      </x:c>
      <x:c r="H747" s="22" t="n">
        <x:v>23</x:v>
      </x:c>
      <x:c r="I747" t="n">
        <x:v>25</x:v>
      </x:c>
      <x:c r="J747" t="n">
        <x:v>0</x:v>
      </x:c>
    </x:row>
    <x:row r="748" ht="18" customHeight="1">
      <x:c r="A748" t="str">
        <x:v>06-849-4869</x:v>
      </x:c>
      <x:c r="B748" t="str">
        <x:v>Sesame Oil</x:v>
      </x:c>
      <x:c r="C748" t="str">
        <x:v>Rhycero</x:v>
      </x:c>
      <x:c r="D748" t="str">
        <x:v>Oils &amp; Fats</x:v>
      </x:c>
      <x:c r="E748" t="str">
        <x:v>Discontinued</x:v>
      </x:c>
      <x:c r="F748" t="n">
        <x:v>85</x:v>
      </x:c>
      <x:c r="G748" t="n">
        <x:v>15</x:v>
      </x:c>
      <x:c r="H748" s="22" t="n">
        <x:v>552.5</x:v>
      </x:c>
      <x:c r="I748" t="n">
        <x:v>16</x:v>
      </x:c>
      <x:c r="J748" t="n">
        <x:v>0</x:v>
      </x:c>
    </x:row>
    <x:row r="749" ht="18" customHeight="1">
      <x:c r="A749" t="str">
        <x:v>41-526-4036</x:v>
      </x:c>
      <x:c r="B749" t="str">
        <x:v>Whipped Cream</x:v>
      </x:c>
      <x:c r="C749" t="str">
        <x:v>Flashset</x:v>
      </x:c>
      <x:c r="D749" t="str">
        <x:v>Dairy</x:v>
      </x:c>
      <x:c r="E749" t="str">
        <x:v>Backordered</x:v>
      </x:c>
      <x:c r="F749" t="n">
        <x:v>55</x:v>
      </x:c>
      <x:c r="G749" t="n">
        <x:v>25</x:v>
      </x:c>
      <x:c r="H749" s="22" t="n">
        <x:v>220</x:v>
      </x:c>
      <x:c r="I749" t="n">
        <x:v>87</x:v>
      </x:c>
      <x:c r="J749" t="n">
        <x:v>0</x:v>
      </x:c>
    </x:row>
    <x:row r="750" ht="18" customHeight="1">
      <x:c r="A750" t="str">
        <x:v>49-570-8214</x:v>
      </x:c>
      <x:c r="B750" t="str">
        <x:v>Sour Cream</x:v>
      </x:c>
      <x:c r="C750" t="str">
        <x:v>Realblab</x:v>
      </x:c>
      <x:c r="D750" t="str">
        <x:v>Dairy</x:v>
      </x:c>
      <x:c r="E750" t="str">
        <x:v>Backordered</x:v>
      </x:c>
      <x:c r="F750" t="n">
        <x:v>81</x:v>
      </x:c>
      <x:c r="G750" t="n">
        <x:v>76</x:v>
      </x:c>
      <x:c r="H750" s="22" t="n">
        <x:v>324</x:v>
      </x:c>
      <x:c r="I750" t="n">
        <x:v>10</x:v>
      </x:c>
      <x:c r="J750" t="n">
        <x:v>0</x:v>
      </x:c>
    </x:row>
    <x:row r="751" ht="18" customHeight="1">
      <x:c r="A751" t="str">
        <x:v>85-561-4694</x:v>
      </x:c>
      <x:c r="B751" t="str">
        <x:v>Kiwi</x:v>
      </x:c>
      <x:c r="C751" t="str">
        <x:v>Tazz</x:v>
      </x:c>
      <x:c r="D751" t="str">
        <x:v>Fruits &amp; Vegetables</x:v>
      </x:c>
      <x:c r="E751" t="str">
        <x:v>Discontinued</x:v>
      </x:c>
      <x:c r="F751" t="n">
        <x:v>28</x:v>
      </x:c>
      <x:c r="G751" t="n">
        <x:v>27</x:v>
      </x:c>
      <x:c r="H751" s="22" t="n">
        <x:v>168</x:v>
      </x:c>
      <x:c r="I751" t="n">
        <x:v>22</x:v>
      </x:c>
      <x:c r="J751" t="n">
        <x:v>0</x:v>
      </x:c>
    </x:row>
    <x:row r="752" ht="18" customHeight="1">
      <x:c r="A752" t="str">
        <x:v>26-629-5920</x:v>
      </x:c>
      <x:c r="B752" t="str">
        <x:v>Rye Bread</x:v>
      </x:c>
      <x:c r="C752" t="str">
        <x:v>Jetwire</x:v>
      </x:c>
      <x:c r="D752" t="str">
        <x:v>Bakery</x:v>
      </x:c>
      <x:c r="E752" t="str">
        <x:v>Active</x:v>
      </x:c>
      <x:c r="F752" t="n">
        <x:v>99</x:v>
      </x:c>
      <x:c r="G752" t="n">
        <x:v>6</x:v>
      </x:c>
      <x:c r="H752" s="22" t="n">
        <x:v>297</x:v>
      </x:c>
      <x:c r="I752" t="n">
        <x:v>88</x:v>
      </x:c>
      <x:c r="J752" t="n">
        <x:v>0</x:v>
      </x:c>
    </x:row>
    <x:row r="753" ht="18" customHeight="1">
      <x:c r="A753" t="str">
        <x:v>75-029-9003</x:v>
      </x:c>
      <x:c r="B753" t="str">
        <x:v>Sourdough Bread</x:v>
      </x:c>
      <x:c r="C753" t="str">
        <x:v>Eadel</x:v>
      </x:c>
      <x:c r="D753" t="str">
        <x:v>Bakery</x:v>
      </x:c>
      <x:c r="E753" t="str">
        <x:v>Discontinued</x:v>
      </x:c>
      <x:c r="F753" t="n">
        <x:v>34</x:v>
      </x:c>
      <x:c r="G753" t="n">
        <x:v>42</x:v>
      </x:c>
      <x:c r="H753" s="22" t="n">
        <x:v>136</x:v>
      </x:c>
      <x:c r="I753" t="n">
        <x:v>86</x:v>
      </x:c>
      <x:c r="J753" t="n">
        <x:v>0</x:v>
      </x:c>
    </x:row>
    <x:row r="754" ht="18" customHeight="1">
      <x:c r="A754" t="str">
        <x:v>79-428-8753</x:v>
      </x:c>
      <x:c r="B754" t="str">
        <x:v>Cabbage</x:v>
      </x:c>
      <x:c r="C754" t="str">
        <x:v>Skivee</x:v>
      </x:c>
      <x:c r="D754" t="str">
        <x:v>Fruits &amp; Vegetables</x:v>
      </x:c>
      <x:c r="E754" t="str">
        <x:v>Active</x:v>
      </x:c>
      <x:c r="F754" t="n">
        <x:v>62</x:v>
      </x:c>
      <x:c r="G754" t="n">
        <x:v>79</x:v>
      </x:c>
      <x:c r="H754" s="22" t="n">
        <x:v>62</x:v>
      </x:c>
      <x:c r="I754" t="n">
        <x:v>95</x:v>
      </x:c>
      <x:c r="J754" t="n">
        <x:v>95</x:v>
      </x:c>
    </x:row>
    <x:row r="755" ht="18" customHeight="1">
      <x:c r="A755" t="str">
        <x:v>34-369-7712</x:v>
      </x:c>
      <x:c r="B755" t="str">
        <x:v>Apricot</x:v>
      </x:c>
      <x:c r="C755" t="str">
        <x:v>Fivebridge</x:v>
      </x:c>
      <x:c r="D755" t="str">
        <x:v>Fruits &amp; Vegetables</x:v>
      </x:c>
      <x:c r="E755" t="str">
        <x:v>Discontinued</x:v>
      </x:c>
      <x:c r="F755" t="n">
        <x:v>55</x:v>
      </x:c>
      <x:c r="G755" t="n">
        <x:v>96</x:v>
      </x:c>
      <x:c r="H755" s="22" t="n">
        <x:v>275</x:v>
      </x:c>
      <x:c r="I755" t="n">
        <x:v>40</x:v>
      </x:c>
      <x:c r="J755" t="n">
        <x:v>0</x:v>
      </x:c>
    </x:row>
    <x:row r="756" ht="18" customHeight="1">
      <x:c r="A756" t="str">
        <x:v>22-141-9798</x:v>
      </x:c>
      <x:c r="B756" t="str">
        <x:v>White Sugar</x:v>
      </x:c>
      <x:c r="C756" t="str">
        <x:v>Photobean</x:v>
      </x:c>
      <x:c r="D756" t="str">
        <x:v>Grains &amp; Pulses</x:v>
      </x:c>
      <x:c r="E756" t="str">
        <x:v>Backordered</x:v>
      </x:c>
      <x:c r="F756" t="n">
        <x:v>47</x:v>
      </x:c>
      <x:c r="G756" t="n">
        <x:v>7</x:v>
      </x:c>
      <x:c r="H756" s="22" t="n">
        <x:v>94</x:v>
      </x:c>
      <x:c r="I756" t="n">
        <x:v>63</x:v>
      </x:c>
      <x:c r="J756" t="n">
        <x:v>0</x:v>
      </x:c>
    </x:row>
    <x:row r="757" ht="18" customHeight="1">
      <x:c r="A757" t="str">
        <x:v>38-924-3007</x:v>
      </x:c>
      <x:c r="B757" t="str">
        <x:v>Peas</x:v>
      </x:c>
      <x:c r="C757" t="str">
        <x:v>Photolist</x:v>
      </x:c>
      <x:c r="D757" t="str">
        <x:v>Fruits &amp; Vegetables</x:v>
      </x:c>
      <x:c r="E757" t="str">
        <x:v>Backordered</x:v>
      </x:c>
      <x:c r="F757" t="n">
        <x:v>12</x:v>
      </x:c>
      <x:c r="G757" t="n">
        <x:v>28</x:v>
      </x:c>
      <x:c r="H757" s="22" t="n">
        <x:v>36</x:v>
      </x:c>
      <x:c r="I757" t="n">
        <x:v>11</x:v>
      </x:c>
      <x:c r="J757" t="n">
        <x:v>16</x:v>
      </x:c>
    </x:row>
    <x:row r="758" ht="18" customHeight="1">
      <x:c r="A758" t="str">
        <x:v>70-005-5970</x:v>
      </x:c>
      <x:c r="B758" t="str">
        <x:v>Apple</x:v>
      </x:c>
      <x:c r="C758" t="str">
        <x:v>Skaboo</x:v>
      </x:c>
      <x:c r="D758" t="str">
        <x:v>Fruits &amp; Vegetables</x:v>
      </x:c>
      <x:c r="E758" t="str">
        <x:v>Discontinued</x:v>
      </x:c>
      <x:c r="F758" t="n">
        <x:v>84</x:v>
      </x:c>
      <x:c r="G758" t="n">
        <x:v>46</x:v>
      </x:c>
      <x:c r="H758" s="22" t="n">
        <x:v>294</x:v>
      </x:c>
      <x:c r="I758" t="n">
        <x:v>80</x:v>
      </x:c>
      <x:c r="J758" t="n">
        <x:v>0</x:v>
      </x:c>
    </x:row>
    <x:row r="759" ht="18" customHeight="1">
      <x:c r="A759" t="str">
        <x:v>19-021-5024</x:v>
      </x:c>
      <x:c r="B759" t="str">
        <x:v>Broccoli</x:v>
      </x:c>
      <x:c r="C759" t="str">
        <x:v>Rhyzio</x:v>
      </x:c>
      <x:c r="D759" t="str">
        <x:v>Fruits &amp; Vegetables</x:v>
      </x:c>
      <x:c r="E759" t="str">
        <x:v>Active</x:v>
      </x:c>
      <x:c r="F759" t="n">
        <x:v>47</x:v>
      </x:c>
      <x:c r="G759" t="n">
        <x:v>63</x:v>
      </x:c>
      <x:c r="H759" s="22" t="n">
        <x:v>188</x:v>
      </x:c>
      <x:c r="I759" t="n">
        <x:v>86</x:v>
      </x:c>
      <x:c r="J759" t="n">
        <x:v>86</x:v>
      </x:c>
    </x:row>
    <x:row r="760" ht="18" customHeight="1">
      <x:c r="A760" t="str">
        <x:v>31-403-6234</x:v>
      </x:c>
      <x:c r="B760" t="str">
        <x:v>Tuna</x:v>
      </x:c>
      <x:c r="C760" t="str">
        <x:v>Thoughtbeat</x:v>
      </x:c>
      <x:c r="D760" t="str">
        <x:v>Seafood</x:v>
      </x:c>
      <x:c r="E760" t="str">
        <x:v>Active</x:v>
      </x:c>
      <x:c r="F760" t="n">
        <x:v>87</x:v>
      </x:c>
      <x:c r="G760" t="n">
        <x:v>24</x:v>
      </x:c>
      <x:c r="H760" s="22" t="n">
        <x:v>1566</x:v>
      </x:c>
      <x:c r="I760" t="n">
        <x:v>66</x:v>
      </x:c>
      <x:c r="J760" t="n">
        <x:v>0</x:v>
      </x:c>
    </x:row>
    <x:row r="761" ht="18" customHeight="1">
      <x:c r="A761" t="str">
        <x:v>19-047-4239</x:v>
      </x:c>
      <x:c r="B761" t="str">
        <x:v>Peach</x:v>
      </x:c>
      <x:c r="C761" t="str">
        <x:v>Quire</x:v>
      </x:c>
      <x:c r="D761" t="str">
        <x:v>Fruits &amp; Vegetables</x:v>
      </x:c>
      <x:c r="E761" t="str">
        <x:v>Backordered</x:v>
      </x:c>
      <x:c r="F761" t="n">
        <x:v>47</x:v>
      </x:c>
      <x:c r="G761" t="n">
        <x:v>72</x:v>
      </x:c>
      <x:c r="H761" s="22" t="n">
        <x:v>188</x:v>
      </x:c>
      <x:c r="I761" t="n">
        <x:v>73</x:v>
      </x:c>
      <x:c r="J761" t="n">
        <x:v>73</x:v>
      </x:c>
    </x:row>
    <x:row r="762" ht="18" customHeight="1">
      <x:c r="A762" t="str">
        <x:v>29-092-3453</x:v>
      </x:c>
      <x:c r="B762" t="str">
        <x:v>Spinach</x:v>
      </x:c>
      <x:c r="C762" t="str">
        <x:v>Youbridge</x:v>
      </x:c>
      <x:c r="D762" t="str">
        <x:v>Fruits &amp; Vegetables</x:v>
      </x:c>
      <x:c r="E762" t="str">
        <x:v>Active</x:v>
      </x:c>
      <x:c r="F762" t="n">
        <x:v>61</x:v>
      </x:c>
      <x:c r="G762" t="n">
        <x:v>17</x:v>
      </x:c>
      <x:c r="H762" s="22" t="n">
        <x:v>153.72</x:v>
      </x:c>
      <x:c r="I762" t="n">
        <x:v>69</x:v>
      </x:c>
      <x:c r="J762" t="n">
        <x:v>0</x:v>
      </x:c>
    </x:row>
    <x:row r="763" ht="18" customHeight="1">
      <x:c r="A763" t="str">
        <x:v>28-956-1320</x:v>
      </x:c>
      <x:c r="B763" t="str">
        <x:v>Greek Yogurt</x:v>
      </x:c>
      <x:c r="C763" t="str">
        <x:v>Thoughtblab</x:v>
      </x:c>
      <x:c r="D763" t="str">
        <x:v>Dairy</x:v>
      </x:c>
      <x:c r="E763" t="str">
        <x:v>Discontinued</x:v>
      </x:c>
      <x:c r="F763" t="n">
        <x:v>62</x:v>
      </x:c>
      <x:c r="G763" t="n">
        <x:v>2</x:v>
      </x:c>
      <x:c r="H763" s="22" t="n">
        <x:v>186</x:v>
      </x:c>
      <x:c r="I763" t="n">
        <x:v>98</x:v>
      </x:c>
      <x:c r="J763" t="n">
        <x:v>0</x:v>
      </x:c>
    </x:row>
    <x:row r="764" ht="18" customHeight="1">
      <x:c r="A764" t="str">
        <x:v>88-069-5486</x:v>
      </x:c>
      <x:c r="B764" t="str">
        <x:v>Cod</x:v>
      </x:c>
      <x:c r="C764" t="str">
        <x:v>Buzzshare</x:v>
      </x:c>
      <x:c r="D764" t="str">
        <x:v>Seafood</x:v>
      </x:c>
      <x:c r="E764" t="str">
        <x:v>Active</x:v>
      </x:c>
      <x:c r="F764" t="n">
        <x:v>31</x:v>
      </x:c>
      <x:c r="G764" t="n">
        <x:v>87</x:v>
      </x:c>
      <x:c r="H764" s="22" t="n">
        <x:v>248</x:v>
      </x:c>
      <x:c r="I764" t="n">
        <x:v>19</x:v>
      </x:c>
      <x:c r="J764" t="n">
        <x:v>56</x:v>
      </x:c>
    </x:row>
    <x:row r="765" ht="18" customHeight="1">
      <x:c r="A765" t="str">
        <x:v>97-710-2449</x:v>
      </x:c>
      <x:c r="B765" t="str">
        <x:v>Rye Bread</x:v>
      </x:c>
      <x:c r="C765" t="str">
        <x:v>Tanoodle</x:v>
      </x:c>
      <x:c r="D765" t="str">
        <x:v>Bakery</x:v>
      </x:c>
      <x:c r="E765" t="str">
        <x:v>Backordered</x:v>
      </x:c>
      <x:c r="F765" t="n">
        <x:v>28</x:v>
      </x:c>
      <x:c r="G765" t="n">
        <x:v>94</x:v>
      </x:c>
      <x:c r="H765" s="22" t="n">
        <x:v>78.4</x:v>
      </x:c>
      <x:c r="I765" t="n">
        <x:v>80</x:v>
      </x:c>
      <x:c r="J765" t="n">
        <x:v>80</x:v>
      </x:c>
    </x:row>
    <x:row r="766" ht="18" customHeight="1">
      <x:c r="A766" t="str">
        <x:v>84-272-0790</x:v>
      </x:c>
      <x:c r="B766" t="str">
        <x:v>Blueberries</x:v>
      </x:c>
      <x:c r="C766" t="str">
        <x:v>Eidel</x:v>
      </x:c>
      <x:c r="D766" t="str">
        <x:v>Fruits &amp; Vegetables</x:v>
      </x:c>
      <x:c r="E766" t="str">
        <x:v>Backordered</x:v>
      </x:c>
      <x:c r="F766" t="n">
        <x:v>28</x:v>
      </x:c>
      <x:c r="G766" t="n">
        <x:v>86</x:v>
      </x:c>
      <x:c r="H766" s="22" t="n">
        <x:v>280</x:v>
      </x:c>
      <x:c r="I766" t="n">
        <x:v>44</x:v>
      </x:c>
      <x:c r="J766" t="n">
        <x:v>58</x:v>
      </x:c>
    </x:row>
    <x:row r="767" ht="18" customHeight="1">
      <x:c r="A767" t="str">
        <x:v>89-602-6755</x:v>
      </x:c>
      <x:c r="B767" t="str">
        <x:v>Milk</x:v>
      </x:c>
      <x:c r="C767" t="str">
        <x:v>BlogXS</x:v>
      </x:c>
      <x:c r="D767" t="str">
        <x:v>Dairy</x:v>
      </x:c>
      <x:c r="E767" t="str">
        <x:v>Discontinued</x:v>
      </x:c>
      <x:c r="F767" t="n">
        <x:v>74</x:v>
      </x:c>
      <x:c r="G767" t="n">
        <x:v>90</x:v>
      </x:c>
      <x:c r="H767" s="22" t="n">
        <x:v>74</x:v>
      </x:c>
      <x:c r="I767" t="n">
        <x:v>26</x:v>
      </x:c>
      <x:c r="J767" t="n">
        <x:v>0</x:v>
      </x:c>
    </x:row>
    <x:row r="768" ht="18" customHeight="1">
      <x:c r="A768" t="str">
        <x:v>63-162-9244</x:v>
      </x:c>
      <x:c r="B768" t="str">
        <x:v>Eggplant</x:v>
      </x:c>
      <x:c r="C768" t="str">
        <x:v>Vimbo</x:v>
      </x:c>
      <x:c r="D768" t="str">
        <x:v>Fruits &amp; Vegetables</x:v>
      </x:c>
      <x:c r="E768" t="str">
        <x:v>Active</x:v>
      </x:c>
      <x:c r="F768" t="n">
        <x:v>49</x:v>
      </x:c>
      <x:c r="G768" t="n">
        <x:v>89</x:v>
      </x:c>
      <x:c r="H768" s="22" t="n">
        <x:v>147</x:v>
      </x:c>
      <x:c r="I768" t="n">
        <x:v>65</x:v>
      </x:c>
      <x:c r="J768" t="n">
        <x:v>65</x:v>
      </x:c>
    </x:row>
    <x:row r="769" ht="18" customHeight="1">
      <x:c r="A769" t="str">
        <x:v>49-579-4325</x:v>
      </x:c>
      <x:c r="B769" t="str">
        <x:v>Ricotta Cheese</x:v>
      </x:c>
      <x:c r="C769" t="str">
        <x:v>Eadel</x:v>
      </x:c>
      <x:c r="D769" t="str">
        <x:v>Dairy</x:v>
      </x:c>
      <x:c r="E769" t="str">
        <x:v>Discontinued</x:v>
      </x:c>
      <x:c r="F769" t="n">
        <x:v>64</x:v>
      </x:c>
      <x:c r="G769" t="n">
        <x:v>95</x:v>
      </x:c>
      <x:c r="H769" s="22" t="n">
        <x:v>384</x:v>
      </x:c>
      <x:c r="I769" t="n">
        <x:v>62</x:v>
      </x:c>
      <x:c r="J769" t="n">
        <x:v>0</x:v>
      </x:c>
    </x:row>
    <x:row r="770" ht="18" customHeight="1">
      <x:c r="A770" t="str">
        <x:v>96-503-7712</x:v>
      </x:c>
      <x:c r="B770" t="str">
        <x:v>White Bread</x:v>
      </x:c>
      <x:c r="C770" t="str">
        <x:v>Twitterbridge</x:v>
      </x:c>
      <x:c r="D770" t="str">
        <x:v>Bakery</x:v>
      </x:c>
      <x:c r="E770" t="str">
        <x:v>Backordered</x:v>
      </x:c>
      <x:c r="F770" t="n">
        <x:v>93</x:v>
      </x:c>
      <x:c r="G770" t="n">
        <x:v>76</x:v>
      </x:c>
      <x:c r="H770" s="22" t="n">
        <x:v>232.5</x:v>
      </x:c>
      <x:c r="I770" t="n">
        <x:v>82</x:v>
      </x:c>
      <x:c r="J770" t="n">
        <x:v>0</x:v>
      </x:c>
    </x:row>
    <x:row r="771" ht="18" customHeight="1">
      <x:c r="A771" t="str">
        <x:v>56-213-0577</x:v>
      </x:c>
      <x:c r="B771" t="str">
        <x:v>Papaya</x:v>
      </x:c>
      <x:c r="C771" t="str">
        <x:v>Kwinu</x:v>
      </x:c>
      <x:c r="D771" t="str">
        <x:v>Fruits &amp; Vegetables</x:v>
      </x:c>
      <x:c r="E771" t="str">
        <x:v>Backordered</x:v>
      </x:c>
      <x:c r="F771" t="n">
        <x:v>24</x:v>
      </x:c>
      <x:c r="G771" t="n">
        <x:v>25</x:v>
      </x:c>
      <x:c r="H771" s="22" t="n">
        <x:v>108</x:v>
      </x:c>
      <x:c r="I771" t="n">
        <x:v>52</x:v>
      </x:c>
      <x:c r="J771" t="n">
        <x:v>52</x:v>
      </x:c>
    </x:row>
    <x:row r="772" ht="18" customHeight="1">
      <x:c r="A772" t="str">
        <x:v>24-989-3302</x:v>
      </x:c>
      <x:c r="B772" t="str">
        <x:v>Coconut</x:v>
      </x:c>
      <x:c r="C772" t="str">
        <x:v>Eazzy</x:v>
      </x:c>
      <x:c r="D772" t="str">
        <x:v>Fruits &amp; Vegetables</x:v>
      </x:c>
      <x:c r="E772" t="str">
        <x:v>Backordered</x:v>
      </x:c>
      <x:c r="F772" t="n">
        <x:v>85</x:v>
      </x:c>
      <x:c r="G772" t="n">
        <x:v>90</x:v>
      </x:c>
      <x:c r="H772" s="22" t="n">
        <x:v>425</x:v>
      </x:c>
      <x:c r="I772" t="n">
        <x:v>16</x:v>
      </x:c>
      <x:c r="J772" t="n">
        <x:v>16</x:v>
      </x:c>
    </x:row>
    <x:row r="773" ht="18" customHeight="1">
      <x:c r="A773" t="str">
        <x:v>79-920-2395</x:v>
      </x:c>
      <x:c r="B773" t="str">
        <x:v>Mushrooms</x:v>
      </x:c>
      <x:c r="C773" t="str">
        <x:v>Chatterpoint</x:v>
      </x:c>
      <x:c r="D773" t="str">
        <x:v>Fruits &amp; Vegetables</x:v>
      </x:c>
      <x:c r="E773" t="str">
        <x:v>Active</x:v>
      </x:c>
      <x:c r="F773" t="n">
        <x:v>81</x:v>
      </x:c>
      <x:c r="G773" t="n">
        <x:v>23</x:v>
      </x:c>
      <x:c r="H773" s="22" t="n">
        <x:v>506.25</x:v>
      </x:c>
      <x:c r="I773" t="n">
        <x:v>17</x:v>
      </x:c>
      <x:c r="J773" t="n">
        <x:v>0</x:v>
      </x:c>
    </x:row>
    <x:row r="774" ht="18" customHeight="1">
      <x:c r="A774" t="str">
        <x:v>73-118-1117</x:v>
      </x:c>
      <x:c r="B774" t="str">
        <x:v>Olive Oil</x:v>
      </x:c>
      <x:c r="C774" t="str">
        <x:v>Layo</x:v>
      </x:c>
      <x:c r="D774" t="str">
        <x:v>Oils &amp; Fats</x:v>
      </x:c>
      <x:c r="E774" t="str">
        <x:v>Discontinued</x:v>
      </x:c>
      <x:c r="F774" t="n">
        <x:v>52</x:v>
      </x:c>
      <x:c r="G774" t="n">
        <x:v>88</x:v>
      </x:c>
      <x:c r="H774" s="22" t="n">
        <x:v>312</x:v>
      </x:c>
      <x:c r="I774" t="n">
        <x:v>55</x:v>
      </x:c>
      <x:c r="J774" t="n">
        <x:v>0</x:v>
      </x:c>
    </x:row>
    <x:row r="775" ht="18" customHeight="1">
      <x:c r="A775" t="str">
        <x:v>65-674-6076</x:v>
      </x:c>
      <x:c r="B775" t="str">
        <x:v>Egg (Quail)</x:v>
      </x:c>
      <x:c r="C775" t="str">
        <x:v>Ntags</x:v>
      </x:c>
      <x:c r="D775" t="str">
        <x:v>Dairy</x:v>
      </x:c>
      <x:c r="E775" t="str">
        <x:v>Active</x:v>
      </x:c>
      <x:c r="F775" t="n">
        <x:v>78</x:v>
      </x:c>
      <x:c r="G775" t="n">
        <x:v>61</x:v>
      </x:c>
      <x:c r="H775" s="22" t="n">
        <x:v>62.4</x:v>
      </x:c>
      <x:c r="I775" t="n">
        <x:v>6</x:v>
      </x:c>
      <x:c r="J775" t="n">
        <x:v>0</x:v>
      </x:c>
    </x:row>
    <x:row r="776" ht="18" customHeight="1">
      <x:c r="A776" t="str">
        <x:v>66-312-5511</x:v>
      </x:c>
      <x:c r="B776" t="str">
        <x:v>Anchovies</x:v>
      </x:c>
      <x:c r="C776" t="str">
        <x:v>Skipfire</x:v>
      </x:c>
      <x:c r="D776" t="str">
        <x:v>Seafood</x:v>
      </x:c>
      <x:c r="E776" t="str">
        <x:v>Discontinued</x:v>
      </x:c>
      <x:c r="F776" t="n">
        <x:v>44</x:v>
      </x:c>
      <x:c r="G776" t="n">
        <x:v>97</x:v>
      </x:c>
      <x:c r="H776" s="22" t="n">
        <x:v>440</x:v>
      </x:c>
      <x:c r="I776" t="n">
        <x:v>76</x:v>
      </x:c>
      <x:c r="J776" t="n">
        <x:v>0</x:v>
      </x:c>
    </x:row>
    <x:row r="777" ht="18" customHeight="1">
      <x:c r="A777" t="str">
        <x:v>58-005-5343</x:v>
      </x:c>
      <x:c r="B777" t="str">
        <x:v>Cucumber</x:v>
      </x:c>
      <x:c r="C777" t="str">
        <x:v>Youbridge</x:v>
      </x:c>
      <x:c r="D777" t="str">
        <x:v>Fruits &amp; Vegetables</x:v>
      </x:c>
      <x:c r="E777" t="str">
        <x:v>Discontinued</x:v>
      </x:c>
      <x:c r="F777" t="n">
        <x:v>38</x:v>
      </x:c>
      <x:c r="G777" t="n">
        <x:v>94</x:v>
      </x:c>
      <x:c r="H777" s="22" t="n">
        <x:v>68.4</x:v>
      </x:c>
      <x:c r="I777" t="n">
        <x:v>87</x:v>
      </x:c>
      <x:c r="J777" t="n">
        <x:v>0</x:v>
      </x:c>
    </x:row>
    <x:row r="778" ht="18" customHeight="1">
      <x:c r="A778" t="str">
        <x:v>40-795-0753</x:v>
      </x:c>
      <x:c r="B778" t="str">
        <x:v>Raw Sugar</x:v>
      </x:c>
      <x:c r="C778" t="str">
        <x:v>Mydo</x:v>
      </x:c>
      <x:c r="D778" t="str">
        <x:v>Grains &amp; Pulses</x:v>
      </x:c>
      <x:c r="E778" t="str">
        <x:v>Backordered</x:v>
      </x:c>
      <x:c r="F778" t="n">
        <x:v>31</x:v>
      </x:c>
      <x:c r="G778" t="n">
        <x:v>43</x:v>
      </x:c>
      <x:c r="H778" s="22" t="n">
        <x:v>46.5</x:v>
      </x:c>
      <x:c r="I778" t="n">
        <x:v>80</x:v>
      </x:c>
      <x:c r="J778" t="n">
        <x:v>80</x:v>
      </x:c>
    </x:row>
    <x:row r="779" ht="18" customHeight="1">
      <x:c r="A779" t="str">
        <x:v>73-401-5721</x:v>
      </x:c>
      <x:c r="B779" t="str">
        <x:v>Haddock</x:v>
      </x:c>
      <x:c r="C779" t="str">
        <x:v>Midel</x:v>
      </x:c>
      <x:c r="D779" t="str">
        <x:v>Seafood</x:v>
      </x:c>
      <x:c r="E779" t="str">
        <x:v>Discontinued</x:v>
      </x:c>
      <x:c r="F779" t="n">
        <x:v>46</x:v>
      </x:c>
      <x:c r="G779" t="n">
        <x:v>28</x:v>
      </x:c>
      <x:c r="H779" s="22" t="n">
        <x:v>414</x:v>
      </x:c>
      <x:c r="I779" t="n">
        <x:v>73</x:v>
      </x:c>
      <x:c r="J779" t="n">
        <x:v>0</x:v>
      </x:c>
    </x:row>
    <x:row r="780" ht="18" customHeight="1">
      <x:c r="A780" t="str">
        <x:v>53-680-5293</x:v>
      </x:c>
      <x:c r="B780" t="str">
        <x:v>Cheddar Cheese</x:v>
      </x:c>
      <x:c r="C780" t="str">
        <x:v>Demizz</x:v>
      </x:c>
      <x:c r="D780" t="str">
        <x:v>Dairy</x:v>
      </x:c>
      <x:c r="E780" t="str">
        <x:v>Active</x:v>
      </x:c>
      <x:c r="F780" t="n">
        <x:v>88</x:v>
      </x:c>
      <x:c r="G780" t="n">
        <x:v>74</x:v>
      </x:c>
      <x:c r="H780" s="22" t="n">
        <x:v>792</x:v>
      </x:c>
      <x:c r="I780" t="n">
        <x:v>97</x:v>
      </x:c>
      <x:c r="J780" t="n">
        <x:v>0</x:v>
      </x:c>
    </x:row>
    <x:row r="781" ht="18" customHeight="1">
      <x:c r="A781" t="str">
        <x:v>02-170-5225</x:v>
      </x:c>
      <x:c r="B781" t="str">
        <x:v>Raw Sugar</x:v>
      </x:c>
      <x:c r="C781" t="str">
        <x:v>Eabox</x:v>
      </x:c>
      <x:c r="D781" t="str">
        <x:v>Grains &amp; Pulses</x:v>
      </x:c>
      <x:c r="E781" t="str">
        <x:v>Discontinued</x:v>
      </x:c>
      <x:c r="F781" t="n">
        <x:v>90</x:v>
      </x:c>
      <x:c r="G781" t="n">
        <x:v>75</x:v>
      </x:c>
      <x:c r="H781" s="22" t="n">
        <x:v>135</x:v>
      </x:c>
      <x:c r="I781" t="n">
        <x:v>43</x:v>
      </x:c>
      <x:c r="J781" t="n">
        <x:v>0</x:v>
      </x:c>
    </x:row>
    <x:row r="782" ht="18" customHeight="1">
      <x:c r="A782" t="str">
        <x:v>55-680-0982</x:v>
      </x:c>
      <x:c r="B782" t="str">
        <x:v>Green Tea</x:v>
      </x:c>
      <x:c r="C782" t="str">
        <x:v>Jetpulse</x:v>
      </x:c>
      <x:c r="D782" t="str">
        <x:v>Beverages</x:v>
      </x:c>
      <x:c r="E782" t="str">
        <x:v>Discontinued</x:v>
      </x:c>
      <x:c r="F782" t="n">
        <x:v>64</x:v>
      </x:c>
      <x:c r="G782" t="n">
        <x:v>66</x:v>
      </x:c>
      <x:c r="H782" s="22" t="n">
        <x:v>512</x:v>
      </x:c>
      <x:c r="I782" t="n">
        <x:v>28</x:v>
      </x:c>
      <x:c r="J782" t="n">
        <x:v>0</x:v>
      </x:c>
    </x:row>
    <x:row r="783" ht="18" customHeight="1">
      <x:c r="A783" t="str">
        <x:v>48-414-6162</x:v>
      </x:c>
      <x:c r="B783" t="str">
        <x:v>Arabica Coffee</x:v>
      </x:c>
      <x:c r="C783" t="str">
        <x:v>Skivee</x:v>
      </x:c>
      <x:c r="D783" t="str">
        <x:v>Beverages</x:v>
      </x:c>
      <x:c r="E783" t="str">
        <x:v>Active</x:v>
      </x:c>
      <x:c r="F783" t="n">
        <x:v>55</x:v>
      </x:c>
      <x:c r="G783" t="n">
        <x:v>93</x:v>
      </x:c>
      <x:c r="H783" s="22" t="n">
        <x:v>1100</x:v>
      </x:c>
      <x:c r="I783" t="n">
        <x:v>84</x:v>
      </x:c>
      <x:c r="J783" t="n">
        <x:v>84</x:v>
      </x:c>
    </x:row>
    <x:row r="784" ht="18" customHeight="1">
      <x:c r="A784" t="str">
        <x:v>71-631-5875</x:v>
      </x:c>
      <x:c r="B784" t="str">
        <x:v>Salmon</x:v>
      </x:c>
      <x:c r="C784" t="str">
        <x:v>Feedfish</x:v>
      </x:c>
      <x:c r="D784" t="str">
        <x:v>Seafood</x:v>
      </x:c>
      <x:c r="E784" t="str">
        <x:v>Discontinued</x:v>
      </x:c>
      <x:c r="F784" t="n">
        <x:v>88</x:v>
      </x:c>
      <x:c r="G784" t="n">
        <x:v>83</x:v>
      </x:c>
      <x:c r="H784" s="22" t="n">
        <x:v>1320</x:v>
      </x:c>
      <x:c r="I784" t="n">
        <x:v>42</x:v>
      </x:c>
      <x:c r="J784" t="n">
        <x:v>0</x:v>
      </x:c>
    </x:row>
    <x:row r="785" ht="18" customHeight="1">
      <x:c r="A785" t="str">
        <x:v>34-538-1180</x:v>
      </x:c>
      <x:c r="B785" t="str">
        <x:v>Sour Cream</x:v>
      </x:c>
      <x:c r="C785" t="str">
        <x:v>Voonder</x:v>
      </x:c>
      <x:c r="D785" t="str">
        <x:v>Dairy</x:v>
      </x:c>
      <x:c r="E785" t="str">
        <x:v>Backordered</x:v>
      </x:c>
      <x:c r="F785" t="n">
        <x:v>29</x:v>
      </x:c>
      <x:c r="G785" t="n">
        <x:v>39</x:v>
      </x:c>
      <x:c r="H785" s="22" t="n">
        <x:v>116</x:v>
      </x:c>
      <x:c r="I785" t="n">
        <x:v>80</x:v>
      </x:c>
      <x:c r="J785" t="n">
        <x:v>80</x:v>
      </x:c>
    </x:row>
    <x:row r="786" ht="18" customHeight="1">
      <x:c r="A786" t="str">
        <x:v>48-957-6116</x:v>
      </x:c>
      <x:c r="B786" t="str">
        <x:v>Eggplant</x:v>
      </x:c>
      <x:c r="C786" t="str">
        <x:v>Topicstorm</x:v>
      </x:c>
      <x:c r="D786" t="str">
        <x:v>Fruits &amp; Vegetables</x:v>
      </x:c>
      <x:c r="E786" t="str">
        <x:v>Discontinued</x:v>
      </x:c>
      <x:c r="F786" t="n">
        <x:v>31</x:v>
      </x:c>
      <x:c r="G786" t="n">
        <x:v>44</x:v>
      </x:c>
      <x:c r="H786" s="22" t="n">
        <x:v>93</x:v>
      </x:c>
      <x:c r="I786" t="n">
        <x:v>9</x:v>
      </x:c>
      <x:c r="J786" t="n">
        <x:v>0</x:v>
      </x:c>
    </x:row>
    <x:row r="787" ht="18" customHeight="1">
      <x:c r="A787" t="str">
        <x:v>32-261-0008</x:v>
      </x:c>
      <x:c r="B787" t="str">
        <x:v>Heavy Cream</x:v>
      </x:c>
      <x:c r="C787" t="str">
        <x:v>Oyoyo</x:v>
      </x:c>
      <x:c r="D787" t="str">
        <x:v>Dairy</x:v>
      </x:c>
      <x:c r="E787" t="str">
        <x:v>Discontinued</x:v>
      </x:c>
      <x:c r="F787" t="n">
        <x:v>63</x:v>
      </x:c>
      <x:c r="G787" t="n">
        <x:v>48</x:v>
      </x:c>
      <x:c r="H787" s="22" t="n">
        <x:v>252</x:v>
      </x:c>
      <x:c r="I787" t="n">
        <x:v>22</x:v>
      </x:c>
      <x:c r="J787" t="n">
        <x:v>0</x:v>
      </x:c>
    </x:row>
    <x:row r="788" ht="18" customHeight="1">
      <x:c r="A788" t="str">
        <x:v>34-110-1040</x:v>
      </x:c>
      <x:c r="B788" t="str">
        <x:v>Bell Pepper</x:v>
      </x:c>
      <x:c r="C788" t="str">
        <x:v>Leenti</x:v>
      </x:c>
      <x:c r="D788" t="str">
        <x:v>Fruits &amp; Vegetables</x:v>
      </x:c>
      <x:c r="E788" t="str">
        <x:v>Discontinued</x:v>
      </x:c>
      <x:c r="F788" t="n">
        <x:v>75</x:v>
      </x:c>
      <x:c r="G788" t="n">
        <x:v>85</x:v>
      </x:c>
      <x:c r="H788" s="22" t="n">
        <x:v>337.5</x:v>
      </x:c>
      <x:c r="I788" t="n">
        <x:v>27</x:v>
      </x:c>
      <x:c r="J788" t="n">
        <x:v>0</x:v>
      </x:c>
    </x:row>
    <x:row r="789" ht="18" customHeight="1">
      <x:c r="A789" t="str">
        <x:v>74-132-5528</x:v>
      </x:c>
      <x:c r="B789" t="str">
        <x:v>Cauliflower</x:v>
      </x:c>
      <x:c r="C789" t="str">
        <x:v>Vinder</x:v>
      </x:c>
      <x:c r="D789" t="str">
        <x:v>Fruits &amp; Vegetables</x:v>
      </x:c>
      <x:c r="E789" t="str">
        <x:v>Backordered</x:v>
      </x:c>
      <x:c r="F789" t="n">
        <x:v>63</x:v>
      </x:c>
      <x:c r="G789" t="n">
        <x:v>62</x:v>
      </x:c>
      <x:c r="H789" s="22" t="n">
        <x:v>157.5</x:v>
      </x:c>
      <x:c r="I789" t="n">
        <x:v>98</x:v>
      </x:c>
      <x:c r="J789" t="n">
        <x:v>0</x:v>
      </x:c>
    </x:row>
    <x:row r="790" ht="18" customHeight="1">
      <x:c r="A790" t="str">
        <x:v>15-797-4824</x:v>
      </x:c>
      <x:c r="B790" t="str">
        <x:v>Coconut</x:v>
      </x:c>
      <x:c r="C790" t="str">
        <x:v>Mudo</x:v>
      </x:c>
      <x:c r="D790" t="str">
        <x:v>Fruits &amp; Vegetables</x:v>
      </x:c>
      <x:c r="E790" t="str">
        <x:v>Backordered</x:v>
      </x:c>
      <x:c r="F790" t="n">
        <x:v>32</x:v>
      </x:c>
      <x:c r="G790" t="n">
        <x:v>27</x:v>
      </x:c>
      <x:c r="H790" s="22" t="n">
        <x:v>160</x:v>
      </x:c>
      <x:c r="I790" t="n">
        <x:v>26</x:v>
      </x:c>
      <x:c r="J790" t="n">
        <x:v>0</x:v>
      </x:c>
    </x:row>
    <x:row r="791" ht="18" customHeight="1">
      <x:c r="A791" t="str">
        <x:v>76-854-0095</x:v>
      </x:c>
      <x:c r="B791" t="str">
        <x:v>White Sugar</x:v>
      </x:c>
      <x:c r="C791" t="str">
        <x:v>Mydeo</x:v>
      </x:c>
      <x:c r="D791" t="str">
        <x:v>Grains &amp; Pulses</x:v>
      </x:c>
      <x:c r="E791" t="str">
        <x:v>Backordered</x:v>
      </x:c>
      <x:c r="F791" t="n">
        <x:v>65</x:v>
      </x:c>
      <x:c r="G791" t="n">
        <x:v>61</x:v>
      </x:c>
      <x:c r="H791" s="22" t="n">
        <x:v>130</x:v>
      </x:c>
      <x:c r="I791" t="n">
        <x:v>82</x:v>
      </x:c>
      <x:c r="J791" t="n">
        <x:v>0</x:v>
      </x:c>
    </x:row>
    <x:row r="792" ht="18" customHeight="1">
      <x:c r="A792" t="str">
        <x:v>94-092-3355</x:v>
      </x:c>
      <x:c r="B792" t="str">
        <x:v>Cauliflower</x:v>
      </x:c>
      <x:c r="C792" t="str">
        <x:v>Flashspan</x:v>
      </x:c>
      <x:c r="D792" t="str">
        <x:v>Fruits &amp; Vegetables</x:v>
      </x:c>
      <x:c r="E792" t="str">
        <x:v>Discontinued</x:v>
      </x:c>
      <x:c r="F792" t="n">
        <x:v>57</x:v>
      </x:c>
      <x:c r="G792" t="n">
        <x:v>43</x:v>
      </x:c>
      <x:c r="H792" s="22" t="n">
        <x:v>142.5</x:v>
      </x:c>
      <x:c r="I792" t="n">
        <x:v>46</x:v>
      </x:c>
      <x:c r="J792" t="n">
        <x:v>0</x:v>
      </x:c>
    </x:row>
    <x:row r="793" ht="18" customHeight="1">
      <x:c r="A793" t="str">
        <x:v>99-194-5600</x:v>
      </x:c>
      <x:c r="B793" t="str">
        <x:v>Cauliflower</x:v>
      </x:c>
      <x:c r="C793" t="str">
        <x:v>Tanoodle</x:v>
      </x:c>
      <x:c r="D793" t="str">
        <x:v>Fruits &amp; Vegetables</x:v>
      </x:c>
      <x:c r="E793" t="str">
        <x:v>Active</x:v>
      </x:c>
      <x:c r="F793" t="n">
        <x:v>57</x:v>
      </x:c>
      <x:c r="G793" t="n">
        <x:v>25</x:v>
      </x:c>
      <x:c r="H793" s="22" t="n">
        <x:v>142.5</x:v>
      </x:c>
      <x:c r="I793" t="n">
        <x:v>98</x:v>
      </x:c>
      <x:c r="J793" t="n">
        <x:v>0</x:v>
      </x:c>
    </x:row>
    <x:row r="794" ht="18" customHeight="1">
      <x:c r="A794" t="str">
        <x:v>40-205-8252</x:v>
      </x:c>
      <x:c r="B794" t="str">
        <x:v>Multigrain Bread</x:v>
      </x:c>
      <x:c r="C794" t="str">
        <x:v>Innojam</x:v>
      </x:c>
      <x:c r="D794" t="str">
        <x:v>Bakery</x:v>
      </x:c>
      <x:c r="E794" t="str">
        <x:v>Backordered</x:v>
      </x:c>
      <x:c r="F794" t="n">
        <x:v>38</x:v>
      </x:c>
      <x:c r="G794" t="n">
        <x:v>37</x:v>
      </x:c>
      <x:c r="H794" s="22" t="n">
        <x:v>133</x:v>
      </x:c>
      <x:c r="I794" t="n">
        <x:v>27</x:v>
      </x:c>
      <x:c r="J794" t="n">
        <x:v>0</x:v>
      </x:c>
    </x:row>
    <x:row r="795" ht="18" customHeight="1">
      <x:c r="A795" t="str">
        <x:v>69-674-5387</x:v>
      </x:c>
      <x:c r="B795" t="str">
        <x:v>Yogurt</x:v>
      </x:c>
      <x:c r="C795" t="str">
        <x:v>Miboo</x:v>
      </x:c>
      <x:c r="D795" t="str">
        <x:v>Dairy</x:v>
      </x:c>
      <x:c r="E795" t="str">
        <x:v>Discontinued</x:v>
      </x:c>
      <x:c r="F795" t="n">
        <x:v>59</x:v>
      </x:c>
      <x:c r="G795" t="n">
        <x:v>27</x:v>
      </x:c>
      <x:c r="H795" s="22" t="n">
        <x:v>103.25</x:v>
      </x:c>
      <x:c r="I795" t="n">
        <x:v>63</x:v>
      </x:c>
      <x:c r="J795" t="n">
        <x:v>0</x:v>
      </x:c>
    </x:row>
    <x:row r="796" ht="18" customHeight="1">
      <x:c r="A796" t="str">
        <x:v>04-293-6969</x:v>
      </x:c>
      <x:c r="B796" t="str">
        <x:v>Peach</x:v>
      </x:c>
      <x:c r="C796" t="str">
        <x:v>Linktype</x:v>
      </x:c>
      <x:c r="D796" t="str">
        <x:v>Fruits &amp; Vegetables</x:v>
      </x:c>
      <x:c r="E796" t="str">
        <x:v>Active</x:v>
      </x:c>
      <x:c r="F796" t="n">
        <x:v>37</x:v>
      </x:c>
      <x:c r="G796" t="n">
        <x:v>38</x:v>
      </x:c>
      <x:c r="H796" s="22" t="n">
        <x:v>148</x:v>
      </x:c>
      <x:c r="I796" t="n">
        <x:v>24</x:v>
      </x:c>
      <x:c r="J796" t="n">
        <x:v>24</x:v>
      </x:c>
    </x:row>
    <x:row r="797" ht="18" customHeight="1">
      <x:c r="A797" t="str">
        <x:v>21-890-2826</x:v>
      </x:c>
      <x:c r="B797" t="str">
        <x:v>Gouda Cheese</x:v>
      </x:c>
      <x:c r="C797" t="str">
        <x:v>Avaveo</x:v>
      </x:c>
      <x:c r="D797" t="str">
        <x:v>Dairy</x:v>
      </x:c>
      <x:c r="E797" t="str">
        <x:v>Active</x:v>
      </x:c>
      <x:c r="F797" t="n">
        <x:v>48</x:v>
      </x:c>
      <x:c r="G797" t="n">
        <x:v>12</x:v>
      </x:c>
      <x:c r="H797" s="22" t="n">
        <x:v>336</x:v>
      </x:c>
      <x:c r="I797" t="n">
        <x:v>62</x:v>
      </x:c>
      <x:c r="J797" t="n">
        <x:v>0</x:v>
      </x:c>
    </x:row>
    <x:row r="798" ht="18" customHeight="1">
      <x:c r="A798" t="str">
        <x:v>65-759-3721</x:v>
      </x:c>
      <x:c r="B798" t="str">
        <x:v>Butter Biscuit</x:v>
      </x:c>
      <x:c r="C798" t="str">
        <x:v>Vipe</x:v>
      </x:c>
      <x:c r="D798" t="str">
        <x:v>Bakery</x:v>
      </x:c>
      <x:c r="E798" t="str">
        <x:v>Discontinued</x:v>
      </x:c>
      <x:c r="F798" t="n">
        <x:v>33</x:v>
      </x:c>
      <x:c r="G798" t="n">
        <x:v>60</x:v>
      </x:c>
      <x:c r="H798" s="22" t="n">
        <x:v>198</x:v>
      </x:c>
      <x:c r="I798" t="n">
        <x:v>67</x:v>
      </x:c>
      <x:c r="J798" t="n">
        <x:v>0</x:v>
      </x:c>
    </x:row>
    <x:row r="799" ht="18" customHeight="1">
      <x:c r="A799" t="str">
        <x:v>36-383-3677</x:v>
      </x:c>
      <x:c r="B799" t="str">
        <x:v>Corn Oil</x:v>
      </x:c>
      <x:c r="C799" t="str">
        <x:v>Centizu</x:v>
      </x:c>
      <x:c r="D799" t="str">
        <x:v>Oils &amp; Fats</x:v>
      </x:c>
      <x:c r="E799" t="str">
        <x:v>Discontinued</x:v>
      </x:c>
      <x:c r="F799" t="n">
        <x:v>32</x:v>
      </x:c>
      <x:c r="G799" t="n">
        <x:v>38</x:v>
      </x:c>
      <x:c r="H799" s="22" t="n">
        <x:v>80</x:v>
      </x:c>
      <x:c r="I799" t="n">
        <x:v>23</x:v>
      </x:c>
      <x:c r="J799" t="n">
        <x:v>0</x:v>
      </x:c>
    </x:row>
    <x:row r="800" ht="18" customHeight="1">
      <x:c r="A800" t="str">
        <x:v>84-546-7624</x:v>
      </x:c>
      <x:c r="B800" t="str">
        <x:v>Cherry</x:v>
      </x:c>
      <x:c r="C800" t="str">
        <x:v>Gigazoom</x:v>
      </x:c>
      <x:c r="D800" t="str">
        <x:v>Fruits &amp; Vegetables</x:v>
      </x:c>
      <x:c r="E800" t="str">
        <x:v>Active</x:v>
      </x:c>
      <x:c r="F800" t="n">
        <x:v>43</x:v>
      </x:c>
      <x:c r="G800" t="n">
        <x:v>41</x:v>
      </x:c>
      <x:c r="H800" s="22" t="n">
        <x:v>344</x:v>
      </x:c>
      <x:c r="I800" t="n">
        <x:v>100</x:v>
      </x:c>
      <x:c r="J800" t="n">
        <x:v>0</x:v>
      </x:c>
    </x:row>
    <x:row r="801" ht="18" customHeight="1">
      <x:c r="A801" t="str">
        <x:v>77-827-0820</x:v>
      </x:c>
      <x:c r="B801" t="str">
        <x:v>Sesame Oil</x:v>
      </x:c>
      <x:c r="C801" t="str">
        <x:v>Youopia</x:v>
      </x:c>
      <x:c r="D801" t="str">
        <x:v>Oils &amp; Fats</x:v>
      </x:c>
      <x:c r="E801" t="str">
        <x:v>Active</x:v>
      </x:c>
      <x:c r="F801" t="n">
        <x:v>97</x:v>
      </x:c>
      <x:c r="G801" t="n">
        <x:v>20</x:v>
      </x:c>
      <x:c r="H801" s="22" t="n">
        <x:v>630.5</x:v>
      </x:c>
      <x:c r="I801" t="n">
        <x:v>8</x:v>
      </x:c>
      <x:c r="J801" t="n">
        <x:v>0</x:v>
      </x:c>
    </x:row>
    <x:row r="802" ht="18" customHeight="1">
      <x:c r="A802" t="str">
        <x:v>57-562-2358</x:v>
      </x:c>
      <x:c r="B802" t="str">
        <x:v>Black Coffee</x:v>
      </x:c>
      <x:c r="C802" t="str">
        <x:v>Quamba</x:v>
      </x:c>
      <x:c r="D802" t="str">
        <x:v>Beverages</x:v>
      </x:c>
      <x:c r="E802" t="str">
        <x:v>Backordered</x:v>
      </x:c>
      <x:c r="F802" t="n">
        <x:v>37</x:v>
      </x:c>
      <x:c r="G802" t="n">
        <x:v>94</x:v>
      </x:c>
      <x:c r="H802" s="22" t="n">
        <x:v>555</x:v>
      </x:c>
      <x:c r="I802" t="n">
        <x:v>76</x:v>
      </x:c>
      <x:c r="J802" t="n">
        <x:v>76</x:v>
      </x:c>
    </x:row>
    <x:row r="803" ht="18" customHeight="1">
      <x:c r="A803" t="str">
        <x:v>93-218-8108</x:v>
      </x:c>
      <x:c r="B803" t="str">
        <x:v>Heavy Cream</x:v>
      </x:c>
      <x:c r="C803" t="str">
        <x:v>Talane</x:v>
      </x:c>
      <x:c r="D803" t="str">
        <x:v>Dairy</x:v>
      </x:c>
      <x:c r="E803" t="str">
        <x:v>Backordered</x:v>
      </x:c>
      <x:c r="F803" t="n">
        <x:v>74</x:v>
      </x:c>
      <x:c r="G803" t="n">
        <x:v>60</x:v>
      </x:c>
      <x:c r="H803" s="22" t="n">
        <x:v>296</x:v>
      </x:c>
      <x:c r="I803" t="n">
        <x:v>27</x:v>
      </x:c>
      <x:c r="J803" t="n">
        <x:v>0</x:v>
      </x:c>
    </x:row>
    <x:row r="804" ht="18" customHeight="1">
      <x:c r="A804" t="str">
        <x:v>81-354-4203</x:v>
      </x:c>
      <x:c r="B804" t="str">
        <x:v>Haddock</x:v>
      </x:c>
      <x:c r="C804" t="str">
        <x:v>Yabox</x:v>
      </x:c>
      <x:c r="D804" t="str">
        <x:v>Seafood</x:v>
      </x:c>
      <x:c r="E804" t="str">
        <x:v>Discontinued</x:v>
      </x:c>
      <x:c r="F804" t="n">
        <x:v>76</x:v>
      </x:c>
      <x:c r="G804" t="n">
        <x:v>57</x:v>
      </x:c>
      <x:c r="H804" s="22" t="n">
        <x:v>684</x:v>
      </x:c>
      <x:c r="I804" t="n">
        <x:v>78</x:v>
      </x:c>
      <x:c r="J804" t="n">
        <x:v>0</x:v>
      </x:c>
    </x:row>
    <x:row r="805" ht="18" customHeight="1">
      <x:c r="A805" t="str">
        <x:v>57-613-5779</x:v>
      </x:c>
      <x:c r="B805" t="str">
        <x:v>Gouda Cheese</x:v>
      </x:c>
      <x:c r="C805" t="str">
        <x:v>Thoughtblab</x:v>
      </x:c>
      <x:c r="D805" t="str">
        <x:v>Dairy</x:v>
      </x:c>
      <x:c r="E805" t="str">
        <x:v>Backordered</x:v>
      </x:c>
      <x:c r="F805" t="n">
        <x:v>100</x:v>
      </x:c>
      <x:c r="G805" t="n">
        <x:v>21</x:v>
      </x:c>
      <x:c r="H805" s="22" t="n">
        <x:v>700</x:v>
      </x:c>
      <x:c r="I805" t="n">
        <x:v>64</x:v>
      </x:c>
      <x:c r="J805" t="n">
        <x:v>0</x:v>
      </x:c>
    </x:row>
    <x:row r="806" ht="18" customHeight="1">
      <x:c r="A806" t="str">
        <x:v>49-919-8798</x:v>
      </x:c>
      <x:c r="B806" t="str">
        <x:v>Evaporated Milk</x:v>
      </x:c>
      <x:c r="C806" t="str">
        <x:v>Gigabox</x:v>
      </x:c>
      <x:c r="D806" t="str">
        <x:v>Dairy</x:v>
      </x:c>
      <x:c r="E806" t="str">
        <x:v>Discontinued</x:v>
      </x:c>
      <x:c r="F806" t="n">
        <x:v>64</x:v>
      </x:c>
      <x:c r="G806" t="n">
        <x:v>31</x:v>
      </x:c>
      <x:c r="H806" s="22" t="n">
        <x:v>121.6</x:v>
      </x:c>
      <x:c r="I806" t="n">
        <x:v>91</x:v>
      </x:c>
      <x:c r="J806" t="n">
        <x:v>0</x:v>
      </x:c>
    </x:row>
    <x:row r="807" ht="18" customHeight="1">
      <x:c r="A807" t="str">
        <x:v>70-542-4269</x:v>
      </x:c>
      <x:c r="B807" t="str">
        <x:v>Gouda Cheese</x:v>
      </x:c>
      <x:c r="C807" t="str">
        <x:v>Gigazoom</x:v>
      </x:c>
      <x:c r="D807" t="str">
        <x:v>Dairy</x:v>
      </x:c>
      <x:c r="E807" t="str">
        <x:v>Active</x:v>
      </x:c>
      <x:c r="F807" t="n">
        <x:v>41</x:v>
      </x:c>
      <x:c r="G807" t="n">
        <x:v>22</x:v>
      </x:c>
      <x:c r="H807" s="22" t="n">
        <x:v>287</x:v>
      </x:c>
      <x:c r="I807" t="n">
        <x:v>11</x:v>
      </x:c>
      <x:c r="J807" t="n">
        <x:v>0</x:v>
      </x:c>
    </x:row>
    <x:row r="808" ht="18" customHeight="1">
      <x:c r="A808" t="str">
        <x:v>43-670-8544</x:v>
      </x:c>
      <x:c r="B808" t="str">
        <x:v>Orange</x:v>
      </x:c>
      <x:c r="C808" t="str">
        <x:v>Camido</x:v>
      </x:c>
      <x:c r="D808" t="str">
        <x:v>Fruits &amp; Vegetables</x:v>
      </x:c>
      <x:c r="E808" t="str">
        <x:v>Discontinued</x:v>
      </x:c>
      <x:c r="F808" t="n">
        <x:v>84</x:v>
      </x:c>
      <x:c r="G808" t="n">
        <x:v>95</x:v>
      </x:c>
      <x:c r="H808" s="22" t="n">
        <x:v>239.4</x:v>
      </x:c>
      <x:c r="I808" t="n">
        <x:v>22</x:v>
      </x:c>
      <x:c r="J808" t="n">
        <x:v>0</x:v>
      </x:c>
    </x:row>
    <x:row r="809" ht="18" customHeight="1">
      <x:c r="A809" t="str">
        <x:v>29-436-6570</x:v>
      </x:c>
      <x:c r="B809" t="str">
        <x:v>Digestive Biscuit</x:v>
      </x:c>
      <x:c r="C809" t="str">
        <x:v>Quatz</x:v>
      </x:c>
      <x:c r="D809" t="str">
        <x:v>Bakery</x:v>
      </x:c>
      <x:c r="E809" t="str">
        <x:v>Discontinued</x:v>
      </x:c>
      <x:c r="F809" t="n">
        <x:v>61</x:v>
      </x:c>
      <x:c r="G809" t="n">
        <x:v>8</x:v>
      </x:c>
      <x:c r="H809" s="22" t="n">
        <x:v>244</x:v>
      </x:c>
      <x:c r="I809" t="n">
        <x:v>45</x:v>
      </x:c>
      <x:c r="J809" t="n">
        <x:v>0</x:v>
      </x:c>
    </x:row>
    <x:row r="810" ht="18" customHeight="1">
      <x:c r="A810" t="str">
        <x:v>10-617-7581</x:v>
      </x:c>
      <x:c r="B810" t="str">
        <x:v>Peanut Oil</x:v>
      </x:c>
      <x:c r="C810" t="str">
        <x:v>Devpulse</x:v>
      </x:c>
      <x:c r="D810" t="str">
        <x:v>Oils &amp; Fats</x:v>
      </x:c>
      <x:c r="E810" t="str">
        <x:v>Active</x:v>
      </x:c>
      <x:c r="F810" t="n">
        <x:v>24</x:v>
      </x:c>
      <x:c r="G810" t="n">
        <x:v>14</x:v>
      </x:c>
      <x:c r="H810" s="22" t="n">
        <x:v>96</x:v>
      </x:c>
      <x:c r="I810" t="n">
        <x:v>5</x:v>
      </x:c>
      <x:c r="J810" t="n">
        <x:v>0</x:v>
      </x:c>
    </x:row>
    <x:row r="811" ht="18" customHeight="1">
      <x:c r="A811" t="str">
        <x:v>50-772-2613</x:v>
      </x:c>
      <x:c r="B811" t="str">
        <x:v>Cheddar Cheese</x:v>
      </x:c>
      <x:c r="C811" t="str">
        <x:v>Roomm</x:v>
      </x:c>
      <x:c r="D811" t="str">
        <x:v>Dairy</x:v>
      </x:c>
      <x:c r="E811" t="str">
        <x:v>Backordered</x:v>
      </x:c>
      <x:c r="F811" t="n">
        <x:v>86</x:v>
      </x:c>
      <x:c r="G811" t="n">
        <x:v>23</x:v>
      </x:c>
      <x:c r="H811" s="22" t="n">
        <x:v>774</x:v>
      </x:c>
      <x:c r="I811" t="n">
        <x:v>1</x:v>
      </x:c>
      <x:c r="J811" t="n">
        <x:v>0</x:v>
      </x:c>
    </x:row>
    <x:row r="812" ht="18" customHeight="1">
      <x:c r="A812" t="str">
        <x:v>26-535-4727</x:v>
      </x:c>
      <x:c r="B812" t="str">
        <x:v>Tilapia</x:v>
      </x:c>
      <x:c r="C812" t="str">
        <x:v>Jamia</x:v>
      </x:c>
      <x:c r="D812" t="str">
        <x:v>Seafood</x:v>
      </x:c>
      <x:c r="E812" t="str">
        <x:v>Backordered</x:v>
      </x:c>
      <x:c r="F812" t="n">
        <x:v>93</x:v>
      </x:c>
      <x:c r="G812" t="n">
        <x:v>25</x:v>
      </x:c>
      <x:c r="H812" s="22" t="n">
        <x:v>651</x:v>
      </x:c>
      <x:c r="I812" t="n">
        <x:v>23</x:v>
      </x:c>
      <x:c r="J812" t="n">
        <x:v>0</x:v>
      </x:c>
    </x:row>
    <x:row r="813" ht="18" customHeight="1">
      <x:c r="A813" t="str">
        <x:v>88-602-8210</x:v>
      </x:c>
      <x:c r="B813" t="str">
        <x:v>Avocado Oil</x:v>
      </x:c>
      <x:c r="C813" t="str">
        <x:v>Skajo</x:v>
      </x:c>
      <x:c r="D813" t="str">
        <x:v>Oils &amp; Fats</x:v>
      </x:c>
      <x:c r="E813" t="str">
        <x:v>Backordered</x:v>
      </x:c>
      <x:c r="F813" t="n">
        <x:v>99</x:v>
      </x:c>
      <x:c r="G813" t="n">
        <x:v>96</x:v>
      </x:c>
      <x:c r="H813" s="22" t="n">
        <x:v>990</x:v>
      </x:c>
      <x:c r="I813" t="n">
        <x:v>39</x:v>
      </x:c>
      <x:c r="J813" t="n">
        <x:v>0</x:v>
      </x:c>
    </x:row>
    <x:row r="814" ht="18" customHeight="1">
      <x:c r="A814" t="str">
        <x:v>83-966-3280</x:v>
      </x:c>
      <x:c r="B814" t="str">
        <x:v>Mackerel</x:v>
      </x:c>
      <x:c r="C814" t="str">
        <x:v>Twitterworks</x:v>
      </x:c>
      <x:c r="D814" t="str">
        <x:v>Seafood</x:v>
      </x:c>
      <x:c r="E814" t="str">
        <x:v>Backordered</x:v>
      </x:c>
      <x:c r="F814" t="n">
        <x:v>30</x:v>
      </x:c>
      <x:c r="G814" t="n">
        <x:v>29</x:v>
      </x:c>
      <x:c r="H814" s="22" t="n">
        <x:v>225</x:v>
      </x:c>
      <x:c r="I814" t="n">
        <x:v>70</x:v>
      </x:c>
      <x:c r="J814" t="n">
        <x:v>0</x:v>
      </x:c>
    </x:row>
    <x:row r="815" ht="18" customHeight="1">
      <x:c r="A815" t="str">
        <x:v>21-252-1360</x:v>
      </x:c>
      <x:c r="B815" t="str">
        <x:v>Corn Oil</x:v>
      </x:c>
      <x:c r="C815" t="str">
        <x:v>Shuffletag</x:v>
      </x:c>
      <x:c r="D815" t="str">
        <x:v>Oils &amp; Fats</x:v>
      </x:c>
      <x:c r="E815" t="str">
        <x:v>Backordered</x:v>
      </x:c>
      <x:c r="F815" t="n">
        <x:v>75</x:v>
      </x:c>
      <x:c r="G815" t="n">
        <x:v>23</x:v>
      </x:c>
      <x:c r="H815" s="22" t="n">
        <x:v>187.5</x:v>
      </x:c>
      <x:c r="I815" t="n">
        <x:v>34</x:v>
      </x:c>
      <x:c r="J815" t="n">
        <x:v>0</x:v>
      </x:c>
    </x:row>
    <x:row r="816" ht="18" customHeight="1">
      <x:c r="A816" t="str">
        <x:v>89-922-4773</x:v>
      </x:c>
      <x:c r="B816" t="str">
        <x:v>Whole Wheat Flour</x:v>
      </x:c>
      <x:c r="C816" t="str">
        <x:v>Mudo</x:v>
      </x:c>
      <x:c r="D816" t="str">
        <x:v>Grains &amp; Pulses</x:v>
      </x:c>
      <x:c r="E816" t="str">
        <x:v>Active</x:v>
      </x:c>
      <x:c r="F816" t="n">
        <x:v>39</x:v>
      </x:c>
      <x:c r="G816" t="n">
        <x:v>53</x:v>
      </x:c>
      <x:c r="H816" s="22" t="n">
        <x:v>107.25</x:v>
      </x:c>
      <x:c r="I816" t="n">
        <x:v>64</x:v>
      </x:c>
      <x:c r="J816" t="n">
        <x:v>64</x:v>
      </x:c>
    </x:row>
    <x:row r="817" ht="18" customHeight="1">
      <x:c r="A817" t="str">
        <x:v>15-884-7413</x:v>
      </x:c>
      <x:c r="B817" t="str">
        <x:v>Apple</x:v>
      </x:c>
      <x:c r="C817" t="str">
        <x:v>Geba</x:v>
      </x:c>
      <x:c r="D817" t="str">
        <x:v>Fruits &amp; Vegetables</x:v>
      </x:c>
      <x:c r="E817" t="str">
        <x:v>Discontinued</x:v>
      </x:c>
      <x:c r="F817" t="n">
        <x:v>77</x:v>
      </x:c>
      <x:c r="G817" t="n">
        <x:v>58</x:v>
      </x:c>
      <x:c r="H817" s="22" t="n">
        <x:v>269.5</x:v>
      </x:c>
      <x:c r="I817" t="n">
        <x:v>13</x:v>
      </x:c>
      <x:c r="J817" t="n">
        <x:v>0</x:v>
      </x:c>
    </x:row>
    <x:row r="818" ht="18" customHeight="1">
      <x:c r="A818" t="str">
        <x:v>82-243-3180</x:v>
      </x:c>
      <x:c r="B818" t="str">
        <x:v>Palm Oil</x:v>
      </x:c>
      <x:c r="C818" t="str">
        <x:v>Zooxo</x:v>
      </x:c>
      <x:c r="D818" t="str">
        <x:v>Oils &amp; Fats</x:v>
      </x:c>
      <x:c r="E818" t="str">
        <x:v>Discontinued</x:v>
      </x:c>
      <x:c r="F818" t="n">
        <x:v>43</x:v>
      </x:c>
      <x:c r="G818" t="n">
        <x:v>63</x:v>
      </x:c>
      <x:c r="H818" s="22" t="n">
        <x:v>77.4</x:v>
      </x:c>
      <x:c r="I818" t="n">
        <x:v>80</x:v>
      </x:c>
      <x:c r="J818" t="n">
        <x:v>0</x:v>
      </x:c>
    </x:row>
    <x:row r="819" ht="18" customHeight="1">
      <x:c r="A819" t="str">
        <x:v>33-807-7247</x:v>
      </x:c>
      <x:c r="B819" t="str">
        <x:v>Mozzarella Cheese</x:v>
      </x:c>
      <x:c r="C819" t="str">
        <x:v>Blogspan</x:v>
      </x:c>
      <x:c r="D819" t="str">
        <x:v>Dairy</x:v>
      </x:c>
      <x:c r="E819" t="str">
        <x:v>Backordered</x:v>
      </x:c>
      <x:c r="F819" t="n">
        <x:v>58</x:v>
      </x:c>
      <x:c r="G819" t="n">
        <x:v>17</x:v>
      </x:c>
      <x:c r="H819" s="22" t="n">
        <x:v>406</x:v>
      </x:c>
      <x:c r="I819" t="n">
        <x:v>26</x:v>
      </x:c>
      <x:c r="J819" t="n">
        <x:v>0</x:v>
      </x:c>
    </x:row>
    <x:row r="820" ht="18" customHeight="1">
      <x:c r="A820" t="str">
        <x:v>07-858-5487</x:v>
      </x:c>
      <x:c r="B820" t="str">
        <x:v>Swiss Cheese</x:v>
      </x:c>
      <x:c r="C820" t="str">
        <x:v>Meeveo</x:v>
      </x:c>
      <x:c r="D820" t="str">
        <x:v>Dairy</x:v>
      </x:c>
      <x:c r="E820" t="str">
        <x:v>Active</x:v>
      </x:c>
      <x:c r="F820" t="n">
        <x:v>64</x:v>
      </x:c>
      <x:c r="G820" t="n">
        <x:v>14</x:v>
      </x:c>
      <x:c r="H820" s="22" t="n">
        <x:v>512</x:v>
      </x:c>
      <x:c r="I820" t="n">
        <x:v>44</x:v>
      </x:c>
      <x:c r="J820" t="n">
        <x:v>0</x:v>
      </x:c>
    </x:row>
    <x:row r="821" ht="18" customHeight="1">
      <x:c r="A821" t="str">
        <x:v>27-387-0428</x:v>
      </x:c>
      <x:c r="B821" t="str">
        <x:v>Halibut</x:v>
      </x:c>
      <x:c r="C821" t="str">
        <x:v>Camido</x:v>
      </x:c>
      <x:c r="D821" t="str">
        <x:v>Seafood</x:v>
      </x:c>
      <x:c r="E821" t="str">
        <x:v>Active</x:v>
      </x:c>
      <x:c r="F821" t="n">
        <x:v>88</x:v>
      </x:c>
      <x:c r="G821" t="n">
        <x:v>42</x:v>
      </x:c>
      <x:c r="H821" s="22" t="n">
        <x:v>1760</x:v>
      </x:c>
      <x:c r="I821" t="n">
        <x:v>68</x:v>
      </x:c>
      <x:c r="J821" t="n">
        <x:v>0</x:v>
      </x:c>
    </x:row>
    <x:row r="822" ht="18" customHeight="1">
      <x:c r="A822" t="str">
        <x:v>79-741-0770</x:v>
      </x:c>
      <x:c r="B822" t="str">
        <x:v>Mushrooms</x:v>
      </x:c>
      <x:c r="C822" t="str">
        <x:v>Photospace</x:v>
      </x:c>
      <x:c r="D822" t="str">
        <x:v>Fruits &amp; Vegetables</x:v>
      </x:c>
      <x:c r="E822" t="str">
        <x:v>Active</x:v>
      </x:c>
      <x:c r="F822" t="n">
        <x:v>72</x:v>
      </x:c>
      <x:c r="G822" t="n">
        <x:v>87</x:v>
      </x:c>
      <x:c r="H822" s="22" t="n">
        <x:v>432</x:v>
      </x:c>
      <x:c r="I822" t="n">
        <x:v>39</x:v>
      </x:c>
      <x:c r="J822" t="n">
        <x:v>39</x:v>
      </x:c>
    </x:row>
    <x:row r="823" ht="18" customHeight="1">
      <x:c r="A823" t="str">
        <x:v>34-086-3222</x:v>
      </x:c>
      <x:c r="B823" t="str">
        <x:v>Lemon</x:v>
      </x:c>
      <x:c r="C823" t="str">
        <x:v>Layo</x:v>
      </x:c>
      <x:c r="D823" t="str">
        <x:v>Fruits &amp; Vegetables</x:v>
      </x:c>
      <x:c r="E823" t="str">
        <x:v>Discontinued</x:v>
      </x:c>
      <x:c r="F823" t="n">
        <x:v>12</x:v>
      </x:c>
      <x:c r="G823" t="n">
        <x:v>7</x:v>
      </x:c>
      <x:c r="H823" s="22" t="n">
        <x:v>27.6</x:v>
      </x:c>
      <x:c r="I823" t="n">
        <x:v>48</x:v>
      </x:c>
      <x:c r="J823" t="n">
        <x:v>0</x:v>
      </x:c>
    </x:row>
    <x:row r="824" ht="18" customHeight="1">
      <x:c r="A824" t="str">
        <x:v>93-166-3169</x:v>
      </x:c>
      <x:c r="B824" t="str">
        <x:v>White Tea</x:v>
      </x:c>
      <x:c r="C824" t="str">
        <x:v>Viva</x:v>
      </x:c>
      <x:c r="D824" t="str">
        <x:v>Beverages</x:v>
      </x:c>
      <x:c r="E824" t="str">
        <x:v>Active</x:v>
      </x:c>
      <x:c r="F824" t="n">
        <x:v>58</x:v>
      </x:c>
      <x:c r="G824" t="n">
        <x:v>81</x:v>
      </x:c>
      <x:c r="H824" s="22" t="n">
        <x:v>1450</x:v>
      </x:c>
      <x:c r="I824" t="n">
        <x:v>66</x:v>
      </x:c>
      <x:c r="J824" t="n">
        <x:v>66</x:v>
      </x:c>
    </x:row>
    <x:row r="825" ht="18" customHeight="1">
      <x:c r="A825" t="str">
        <x:v>74-548-9313</x:v>
      </x:c>
      <x:c r="B825" t="str">
        <x:v>Mango</x:v>
      </x:c>
      <x:c r="C825" t="str">
        <x:v>Meevee</x:v>
      </x:c>
      <x:c r="D825" t="str">
        <x:v>Fruits &amp; Vegetables</x:v>
      </x:c>
      <x:c r="E825" t="str">
        <x:v>Backordered</x:v>
      </x:c>
      <x:c r="F825" t="n">
        <x:v>99</x:v>
      </x:c>
      <x:c r="G825" t="n">
        <x:v>59</x:v>
      </x:c>
      <x:c r="H825" s="22" t="n">
        <x:v>495</x:v>
      </x:c>
      <x:c r="I825" t="n">
        <x:v>12</x:v>
      </x:c>
      <x:c r="J825" t="n">
        <x:v>0</x:v>
      </x:c>
    </x:row>
    <x:row r="826" ht="18" customHeight="1">
      <x:c r="A826" t="str">
        <x:v>53-710-7630</x:v>
      </x:c>
      <x:c r="B826" t="str">
        <x:v>Rice Flour</x:v>
      </x:c>
      <x:c r="C826" t="str">
        <x:v>Livetube</x:v>
      </x:c>
      <x:c r="D826" t="str">
        <x:v>Grains &amp; Pulses</x:v>
      </x:c>
      <x:c r="E826" t="str">
        <x:v>Backordered</x:v>
      </x:c>
      <x:c r="F826" t="n">
        <x:v>25</x:v>
      </x:c>
      <x:c r="G826" t="n">
        <x:v>95</x:v>
      </x:c>
      <x:c r="H826" s="22" t="n">
        <x:v>50</x:v>
      </x:c>
      <x:c r="I826" t="n">
        <x:v>71</x:v>
      </x:c>
      <x:c r="J826" t="n">
        <x:v>71</x:v>
      </x:c>
    </x:row>
    <x:row r="827" ht="18" customHeight="1">
      <x:c r="A827" t="str">
        <x:v>64-119-7804</x:v>
      </x:c>
      <x:c r="B827" t="str">
        <x:v>Bell Pepper</x:v>
      </x:c>
      <x:c r="C827" t="str">
        <x:v>Jaxbean</x:v>
      </x:c>
      <x:c r="D827" t="str">
        <x:v>Fruits &amp; Vegetables</x:v>
      </x:c>
      <x:c r="E827" t="str">
        <x:v>Backordered</x:v>
      </x:c>
      <x:c r="F827" t="n">
        <x:v>98</x:v>
      </x:c>
      <x:c r="G827" t="n">
        <x:v>43</x:v>
      </x:c>
      <x:c r="H827" s="22" t="n">
        <x:v>441</x:v>
      </x:c>
      <x:c r="I827" t="n">
        <x:v>9</x:v>
      </x:c>
      <x:c r="J827" t="n">
        <x:v>0</x:v>
      </x:c>
    </x:row>
    <x:row r="828" ht="18" customHeight="1">
      <x:c r="A828" t="str">
        <x:v>40-810-9261</x:v>
      </x:c>
      <x:c r="B828" t="str">
        <x:v>Green Coffee</x:v>
      </x:c>
      <x:c r="C828" t="str">
        <x:v>Cogibox</x:v>
      </x:c>
      <x:c r="D828" t="str">
        <x:v>Beverages</x:v>
      </x:c>
      <x:c r="E828" t="str">
        <x:v>Discontinued</x:v>
      </x:c>
      <x:c r="F828" t="n">
        <x:v>75</x:v>
      </x:c>
      <x:c r="G828" t="n">
        <x:v>47</x:v>
      </x:c>
      <x:c r="H828" s="22" t="n">
        <x:v>937.5</x:v>
      </x:c>
      <x:c r="I828" t="n">
        <x:v>33</x:v>
      </x:c>
      <x:c r="J828" t="n">
        <x:v>0</x:v>
      </x:c>
    </x:row>
    <x:row r="829" ht="18" customHeight="1">
      <x:c r="A829" t="str">
        <x:v>91-553-1774</x:v>
      </x:c>
      <x:c r="B829" t="str">
        <x:v>Feta Cheese</x:v>
      </x:c>
      <x:c r="C829" t="str">
        <x:v>Demivee</x:v>
      </x:c>
      <x:c r="D829" t="str">
        <x:v>Dairy</x:v>
      </x:c>
      <x:c r="E829" t="str">
        <x:v>Active</x:v>
      </x:c>
      <x:c r="F829" t="n">
        <x:v>80</x:v>
      </x:c>
      <x:c r="G829" t="n">
        <x:v>43</x:v>
      </x:c>
      <x:c r="H829" s="22" t="n">
        <x:v>560</x:v>
      </x:c>
      <x:c r="I829" t="n">
        <x:v>80</x:v>
      </x:c>
      <x:c r="J829" t="n">
        <x:v>0</x:v>
      </x:c>
    </x:row>
    <x:row r="830" ht="18" customHeight="1">
      <x:c r="A830" t="str">
        <x:v>39-192-3521</x:v>
      </x:c>
      <x:c r="B830" t="str">
        <x:v>Herbal Tea</x:v>
      </x:c>
      <x:c r="C830" t="str">
        <x:v>Dynazzy</x:v>
      </x:c>
      <x:c r="D830" t="str">
        <x:v>Beverages</x:v>
      </x:c>
      <x:c r="E830" t="str">
        <x:v>Discontinued</x:v>
      </x:c>
      <x:c r="F830" t="n">
        <x:v>20</x:v>
      </x:c>
      <x:c r="G830" t="n">
        <x:v>9</x:v>
      </x:c>
      <x:c r="H830" s="22" t="n">
        <x:v>610</x:v>
      </x:c>
      <x:c r="I830" t="n">
        <x:v>12</x:v>
      </x:c>
      <x:c r="J830" t="n">
        <x:v>0</x:v>
      </x:c>
    </x:row>
    <x:row r="831" ht="18" customHeight="1">
      <x:c r="A831" t="str">
        <x:v>63-890-1246</x:v>
      </x:c>
      <x:c r="B831" t="str">
        <x:v>Oatmeal Biscuit</x:v>
      </x:c>
      <x:c r="C831" t="str">
        <x:v>Vidoo</x:v>
      </x:c>
      <x:c r="D831" t="str">
        <x:v>Bakery</x:v>
      </x:c>
      <x:c r="E831" t="str">
        <x:v>Discontinued</x:v>
      </x:c>
      <x:c r="F831" t="n">
        <x:v>93</x:v>
      </x:c>
      <x:c r="G831" t="n">
        <x:v>50</x:v>
      </x:c>
      <x:c r="H831" s="22" t="n">
        <x:v>465</x:v>
      </x:c>
      <x:c r="I831" t="n">
        <x:v>43</x:v>
      </x:c>
      <x:c r="J831" t="n">
        <x:v>0</x:v>
      </x:c>
    </x:row>
    <x:row r="832" ht="18" customHeight="1">
      <x:c r="A832" t="str">
        <x:v>71-954-4501</x:v>
      </x:c>
      <x:c r="B832" t="str">
        <x:v>Anchovies</x:v>
      </x:c>
      <x:c r="C832" t="str">
        <x:v>Quatz</x:v>
      </x:c>
      <x:c r="D832" t="str">
        <x:v>Seafood</x:v>
      </x:c>
      <x:c r="E832" t="str">
        <x:v>Discontinued</x:v>
      </x:c>
      <x:c r="F832" t="n">
        <x:v>66</x:v>
      </x:c>
      <x:c r="G832" t="n">
        <x:v>49</x:v>
      </x:c>
      <x:c r="H832" s="22" t="n">
        <x:v>660</x:v>
      </x:c>
      <x:c r="I832" t="n">
        <x:v>41</x:v>
      </x:c>
      <x:c r="J832" t="n">
        <x:v>0</x:v>
      </x:c>
    </x:row>
    <x:row r="833" ht="18" customHeight="1">
      <x:c r="A833" t="str">
        <x:v>00-357-2313</x:v>
      </x:c>
      <x:c r="B833" t="str">
        <x:v>Avocado Oil</x:v>
      </x:c>
      <x:c r="C833" t="str">
        <x:v>Quamba</x:v>
      </x:c>
      <x:c r="D833" t="str">
        <x:v>Oils &amp; Fats</x:v>
      </x:c>
      <x:c r="E833" t="str">
        <x:v>Backordered</x:v>
      </x:c>
      <x:c r="F833" t="n">
        <x:v>10</x:v>
      </x:c>
      <x:c r="G833" t="n">
        <x:v>86</x:v>
      </x:c>
      <x:c r="H833" s="22" t="n">
        <x:v>100</x:v>
      </x:c>
      <x:c r="I833" t="n">
        <x:v>23</x:v>
      </x:c>
      <x:c r="J833" t="n">
        <x:v>76</x:v>
      </x:c>
    </x:row>
    <x:row r="834" ht="18" customHeight="1">
      <x:c r="A834" t="str">
        <x:v>29-756-7042</x:v>
      </x:c>
      <x:c r="B834" t="str">
        <x:v>Digestive Biscuit</x:v>
      </x:c>
      <x:c r="C834" t="str">
        <x:v>Dabvine</x:v>
      </x:c>
      <x:c r="D834" t="str">
        <x:v>Bakery</x:v>
      </x:c>
      <x:c r="E834" t="str">
        <x:v>Discontinued</x:v>
      </x:c>
      <x:c r="F834" t="n">
        <x:v>90</x:v>
      </x:c>
      <x:c r="G834" t="n">
        <x:v>52</x:v>
      </x:c>
      <x:c r="H834" s="22" t="n">
        <x:v>360</x:v>
      </x:c>
      <x:c r="I834" t="n">
        <x:v>50</x:v>
      </x:c>
      <x:c r="J834" t="n">
        <x:v>0</x:v>
      </x:c>
    </x:row>
    <x:row r="835" ht="18" customHeight="1">
      <x:c r="A835" t="str">
        <x:v>92-551-8504</x:v>
      </x:c>
      <x:c r="B835" t="str">
        <x:v>Raw Sugar</x:v>
      </x:c>
      <x:c r="C835" t="str">
        <x:v>Livepath</x:v>
      </x:c>
      <x:c r="D835" t="str">
        <x:v>Grains &amp; Pulses</x:v>
      </x:c>
      <x:c r="E835" t="str">
        <x:v>Backordered</x:v>
      </x:c>
      <x:c r="F835" t="n">
        <x:v>19</x:v>
      </x:c>
      <x:c r="G835" t="n">
        <x:v>81</x:v>
      </x:c>
      <x:c r="H835" s="22" t="n">
        <x:v>28.5</x:v>
      </x:c>
      <x:c r="I835" t="n">
        <x:v>33</x:v>
      </x:c>
      <x:c r="J835" t="n">
        <x:v>62</x:v>
      </x:c>
    </x:row>
    <x:row r="836" ht="18" customHeight="1">
      <x:c r="A836" t="str">
        <x:v>61-317-9944</x:v>
      </x:c>
      <x:c r="B836" t="str">
        <x:v>White Bread</x:v>
      </x:c>
      <x:c r="C836" t="str">
        <x:v>Skivee</x:v>
      </x:c>
      <x:c r="D836" t="str">
        <x:v>Bakery</x:v>
      </x:c>
      <x:c r="E836" t="str">
        <x:v>Discontinued</x:v>
      </x:c>
      <x:c r="F836" t="n">
        <x:v>72</x:v>
      </x:c>
      <x:c r="G836" t="n">
        <x:v>20</x:v>
      </x:c>
      <x:c r="H836" s="22" t="n">
        <x:v>180</x:v>
      </x:c>
      <x:c r="I836" t="n">
        <x:v>71</x:v>
      </x:c>
      <x:c r="J836" t="n">
        <x:v>0</x:v>
      </x:c>
    </x:row>
    <x:row r="837" ht="18" customHeight="1">
      <x:c r="A837" t="str">
        <x:v>03-276-3931</x:v>
      </x:c>
      <x:c r="B837" t="str">
        <x:v>Mango</x:v>
      </x:c>
      <x:c r="C837" t="str">
        <x:v>Oyoloo</x:v>
      </x:c>
      <x:c r="D837" t="str">
        <x:v>Fruits &amp; Vegetables</x:v>
      </x:c>
      <x:c r="E837" t="str">
        <x:v>Active</x:v>
      </x:c>
      <x:c r="F837" t="n">
        <x:v>60</x:v>
      </x:c>
      <x:c r="G837" t="n">
        <x:v>36</x:v>
      </x:c>
      <x:c r="H837" s="22" t="n">
        <x:v>270</x:v>
      </x:c>
      <x:c r="I837" t="n">
        <x:v>28</x:v>
      </x:c>
      <x:c r="J837" t="n">
        <x:v>0</x:v>
      </x:c>
    </x:row>
    <x:row r="838" ht="18" customHeight="1">
      <x:c r="A838" t="str">
        <x:v>02-275-6061</x:v>
      </x:c>
      <x:c r="B838" t="str">
        <x:v>Potato</x:v>
      </x:c>
      <x:c r="C838" t="str">
        <x:v>Edgewire</x:v>
      </x:c>
      <x:c r="D838" t="str">
        <x:v>Fruits &amp; Vegetables</x:v>
      </x:c>
      <x:c r="E838" t="str">
        <x:v>Discontinued</x:v>
      </x:c>
      <x:c r="F838" t="n">
        <x:v>26</x:v>
      </x:c>
      <x:c r="G838" t="n">
        <x:v>16</x:v>
      </x:c>
      <x:c r="H838" s="22" t="n">
        <x:v>31.2</x:v>
      </x:c>
      <x:c r="I838" t="n">
        <x:v>69</x:v>
      </x:c>
      <x:c r="J838" t="n">
        <x:v>0</x:v>
      </x:c>
    </x:row>
    <x:row r="839" ht="18" customHeight="1">
      <x:c r="A839" t="str">
        <x:v>72-970-0239</x:v>
      </x:c>
      <x:c r="B839" t="str">
        <x:v>Sesame Oil</x:v>
      </x:c>
      <x:c r="C839" t="str">
        <x:v>Divanoodle</x:v>
      </x:c>
      <x:c r="D839" t="str">
        <x:v>Oils &amp; Fats</x:v>
      </x:c>
      <x:c r="E839" t="str">
        <x:v>Backordered</x:v>
      </x:c>
      <x:c r="F839" t="n">
        <x:v>85</x:v>
      </x:c>
      <x:c r="G839" t="n">
        <x:v>86</x:v>
      </x:c>
      <x:c r="H839" s="22" t="n">
        <x:v>552.5</x:v>
      </x:c>
      <x:c r="I839" t="n">
        <x:v>21</x:v>
      </x:c>
      <x:c r="J839" t="n">
        <x:v>21</x:v>
      </x:c>
    </x:row>
    <x:row r="840" ht="18" customHeight="1">
      <x:c r="A840" t="str">
        <x:v>36-679-4670</x:v>
      </x:c>
      <x:c r="B840" t="str">
        <x:v>Bell Pepper</x:v>
      </x:c>
      <x:c r="C840" t="str">
        <x:v>Fatz</x:v>
      </x:c>
      <x:c r="D840" t="str">
        <x:v>Fruits &amp; Vegetables</x:v>
      </x:c>
      <x:c r="E840" t="str">
        <x:v>Backordered</x:v>
      </x:c>
      <x:c r="F840" t="n">
        <x:v>90</x:v>
      </x:c>
      <x:c r="G840" t="n">
        <x:v>22</x:v>
      </x:c>
      <x:c r="H840" s="22" t="n">
        <x:v>405</x:v>
      </x:c>
      <x:c r="I840" t="n">
        <x:v>20</x:v>
      </x:c>
      <x:c r="J840" t="n">
        <x:v>0</x:v>
      </x:c>
    </x:row>
    <x:row r="841" ht="18" customHeight="1">
      <x:c r="A841" t="str">
        <x:v>13-409-9040</x:v>
      </x:c>
      <x:c r="B841" t="str">
        <x:v>White Tea</x:v>
      </x:c>
      <x:c r="C841" t="str">
        <x:v>Jazzy</x:v>
      </x:c>
      <x:c r="D841" t="str">
        <x:v>Beverages</x:v>
      </x:c>
      <x:c r="E841" t="str">
        <x:v>Discontinued</x:v>
      </x:c>
      <x:c r="F841" t="n">
        <x:v>35</x:v>
      </x:c>
      <x:c r="G841" t="n">
        <x:v>20</x:v>
      </x:c>
      <x:c r="H841" s="22" t="n">
        <x:v>883.75</x:v>
      </x:c>
      <x:c r="I841" t="n">
        <x:v>42</x:v>
      </x:c>
      <x:c r="J841" t="n">
        <x:v>0</x:v>
      </x:c>
    </x:row>
    <x:row r="842" ht="18" customHeight="1">
      <x:c r="A842" t="str">
        <x:v>88-408-0310</x:v>
      </x:c>
      <x:c r="B842" t="str">
        <x:v>Corn Oil</x:v>
      </x:c>
      <x:c r="C842" t="str">
        <x:v>Flipopia</x:v>
      </x:c>
      <x:c r="D842" t="str">
        <x:v>Oils &amp; Fats</x:v>
      </x:c>
      <x:c r="E842" t="str">
        <x:v>Active</x:v>
      </x:c>
      <x:c r="F842" t="n">
        <x:v>50</x:v>
      </x:c>
      <x:c r="G842" t="n">
        <x:v>40</x:v>
      </x:c>
      <x:c r="H842" s="22" t="n">
        <x:v>125</x:v>
      </x:c>
      <x:c r="I842" t="n">
        <x:v>69</x:v>
      </x:c>
      <x:c r="J842" t="n">
        <x:v>0</x:v>
      </x:c>
    </x:row>
    <x:row r="843" ht="18" customHeight="1">
      <x:c r="A843" t="str">
        <x:v>57-359-3397</x:v>
      </x:c>
      <x:c r="B843" t="str">
        <x:v>Garlic</x:v>
      </x:c>
      <x:c r="C843" t="str">
        <x:v>Twiyo</x:v>
      </x:c>
      <x:c r="D843" t="str">
        <x:v>Fruits &amp; Vegetables</x:v>
      </x:c>
      <x:c r="E843" t="str">
        <x:v>Active</x:v>
      </x:c>
      <x:c r="F843" t="n">
        <x:v>43</x:v>
      </x:c>
      <x:c r="G843" t="n">
        <x:v>40</x:v>
      </x:c>
      <x:c r="H843" s="22" t="n">
        <x:v>301</x:v>
      </x:c>
      <x:c r="I843" t="n">
        <x:v>30</x:v>
      </x:c>
      <x:c r="J843" t="n">
        <x:v>0</x:v>
      </x:c>
    </x:row>
    <x:row r="844" ht="18" customHeight="1">
      <x:c r="A844" t="str">
        <x:v>01-050-2246</x:v>
      </x:c>
      <x:c r="B844" t="str">
        <x:v>Grapes</x:v>
      </x:c>
      <x:c r="C844" t="str">
        <x:v>Gabspot</x:v>
      </x:c>
      <x:c r="D844" t="str">
        <x:v>Fruits &amp; Vegetables</x:v>
      </x:c>
      <x:c r="E844" t="str">
        <x:v>Discontinued</x:v>
      </x:c>
      <x:c r="F844" t="n">
        <x:v>99</x:v>
      </x:c>
      <x:c r="G844" t="n">
        <x:v>68</x:v>
      </x:c>
      <x:c r="H844" s="22" t="n">
        <x:v>544.5</x:v>
      </x:c>
      <x:c r="I844" t="n">
        <x:v>1</x:v>
      </x:c>
      <x:c r="J844" t="n">
        <x:v>0</x:v>
      </x:c>
    </x:row>
    <x:row r="845" ht="18" customHeight="1">
      <x:c r="A845" t="str">
        <x:v>47-581-0363</x:v>
      </x:c>
      <x:c r="B845" t="str">
        <x:v>Parmesan Cheese</x:v>
      </x:c>
      <x:c r="C845" t="str">
        <x:v>Tagpad</x:v>
      </x:c>
      <x:c r="D845" t="str">
        <x:v>Dairy</x:v>
      </x:c>
      <x:c r="E845" t="str">
        <x:v>Active</x:v>
      </x:c>
      <x:c r="F845" t="n">
        <x:v>99</x:v>
      </x:c>
      <x:c r="G845" t="n">
        <x:v>10</x:v>
      </x:c>
      <x:c r="H845" s="22" t="n">
        <x:v>1188</x:v>
      </x:c>
      <x:c r="I845" t="n">
        <x:v>88</x:v>
      </x:c>
      <x:c r="J845" t="n">
        <x:v>0</x:v>
      </x:c>
    </x:row>
    <x:row r="846" ht="18" customHeight="1">
      <x:c r="A846" t="str">
        <x:v>33-670-6797</x:v>
      </x:c>
      <x:c r="B846" t="str">
        <x:v>Mackerel</x:v>
      </x:c>
      <x:c r="C846" t="str">
        <x:v>Wikido</x:v>
      </x:c>
      <x:c r="D846" t="str">
        <x:v>Seafood</x:v>
      </x:c>
      <x:c r="E846" t="str">
        <x:v>Discontinued</x:v>
      </x:c>
      <x:c r="F846" t="n">
        <x:v>45</x:v>
      </x:c>
      <x:c r="G846" t="n">
        <x:v>56</x:v>
      </x:c>
      <x:c r="H846" s="22" t="n">
        <x:v>337.5</x:v>
      </x:c>
      <x:c r="I846" t="n">
        <x:v>64</x:v>
      </x:c>
      <x:c r="J846" t="n">
        <x:v>0</x:v>
      </x:c>
    </x:row>
    <x:row r="847" ht="18" customHeight="1">
      <x:c r="A847" t="str">
        <x:v>69-578-7930</x:v>
      </x:c>
      <x:c r="B847" t="str">
        <x:v>Brown Rice</x:v>
      </x:c>
      <x:c r="C847" t="str">
        <x:v>Flipbug</x:v>
      </x:c>
      <x:c r="D847" t="str">
        <x:v>Grains &amp; Pulses</x:v>
      </x:c>
      <x:c r="E847" t="str">
        <x:v>Discontinued</x:v>
      </x:c>
      <x:c r="F847" t="n">
        <x:v>44</x:v>
      </x:c>
      <x:c r="G847" t="n">
        <x:v>67</x:v>
      </x:c>
      <x:c r="H847" s="22" t="n">
        <x:v>110</x:v>
      </x:c>
      <x:c r="I847" t="n">
        <x:v>31</x:v>
      </x:c>
      <x:c r="J847" t="n">
        <x:v>0</x:v>
      </x:c>
    </x:row>
    <x:row r="848" ht="18" customHeight="1">
      <x:c r="A848" t="str">
        <x:v>75-672-4378</x:v>
      </x:c>
      <x:c r="B848" t="str">
        <x:v>Pomegranate</x:v>
      </x:c>
      <x:c r="C848" t="str">
        <x:v>Eare</x:v>
      </x:c>
      <x:c r="D848" t="str">
        <x:v>Fruits &amp; Vegetables</x:v>
      </x:c>
      <x:c r="E848" t="str">
        <x:v>Backordered</x:v>
      </x:c>
      <x:c r="F848" t="n">
        <x:v>62</x:v>
      </x:c>
      <x:c r="G848" t="n">
        <x:v>40</x:v>
      </x:c>
      <x:c r="H848" s="22" t="n">
        <x:v>372</x:v>
      </x:c>
      <x:c r="I848" t="n">
        <x:v>86</x:v>
      </x:c>
      <x:c r="J848" t="n">
        <x:v>0</x:v>
      </x:c>
    </x:row>
    <x:row r="849" ht="18" customHeight="1">
      <x:c r="A849" t="str">
        <x:v>31-211-5803</x:v>
      </x:c>
      <x:c r="B849" t="str">
        <x:v>Oatmeal Biscuit</x:v>
      </x:c>
      <x:c r="C849" t="str">
        <x:v>Gigazoom</x:v>
      </x:c>
      <x:c r="D849" t="str">
        <x:v>Bakery</x:v>
      </x:c>
      <x:c r="E849" t="str">
        <x:v>Backordered</x:v>
      </x:c>
      <x:c r="F849" t="n">
        <x:v>16</x:v>
      </x:c>
      <x:c r="G849" t="n">
        <x:v>9</x:v>
      </x:c>
      <x:c r="H849" s="22" t="n">
        <x:v>80</x:v>
      </x:c>
      <x:c r="I849" t="n">
        <x:v>32</x:v>
      </x:c>
      <x:c r="J849" t="n">
        <x:v>0</x:v>
      </x:c>
    </x:row>
    <x:row r="850" ht="18" customHeight="1">
      <x:c r="A850" t="str">
        <x:v>49-861-7823</x:v>
      </x:c>
      <x:c r="B850" t="str">
        <x:v>Coconut</x:v>
      </x:c>
      <x:c r="C850" t="str">
        <x:v>Skippad</x:v>
      </x:c>
      <x:c r="D850" t="str">
        <x:v>Fruits &amp; Vegetables</x:v>
      </x:c>
      <x:c r="E850" t="str">
        <x:v>Discontinued</x:v>
      </x:c>
      <x:c r="F850" t="n">
        <x:v>99</x:v>
      </x:c>
      <x:c r="G850" t="n">
        <x:v>8</x:v>
      </x:c>
      <x:c r="H850" s="22" t="n">
        <x:v>495</x:v>
      </x:c>
      <x:c r="I850" t="n">
        <x:v>27</x:v>
      </x:c>
      <x:c r="J850" t="n">
        <x:v>0</x:v>
      </x:c>
    </x:row>
    <x:row r="851" ht="18" customHeight="1">
      <x:c r="A851" t="str">
        <x:v>84-624-0201</x:v>
      </x:c>
      <x:c r="B851" t="str">
        <x:v>Bread Flour</x:v>
      </x:c>
      <x:c r="C851" t="str">
        <x:v>Skaboo</x:v>
      </x:c>
      <x:c r="D851" t="str">
        <x:v>Grains &amp; Pulses</x:v>
      </x:c>
      <x:c r="E851" t="str">
        <x:v>Backordered</x:v>
      </x:c>
      <x:c r="F851" t="n">
        <x:v>71</x:v>
      </x:c>
      <x:c r="G851" t="n">
        <x:v>77</x:v>
      </x:c>
      <x:c r="H851" s="22" t="n">
        <x:v>106.5</x:v>
      </x:c>
      <x:c r="I851" t="n">
        <x:v>30</x:v>
      </x:c>
      <x:c r="J851" t="n">
        <x:v>30</x:v>
      </x:c>
    </x:row>
    <x:row r="852" ht="18" customHeight="1">
      <x:c r="A852" t="str">
        <x:v>66-993-4234</x:v>
      </x:c>
      <x:c r="B852" t="str">
        <x:v>Cucumber</x:v>
      </x:c>
      <x:c r="C852" t="str">
        <x:v>Gigazoom</x:v>
      </x:c>
      <x:c r="D852" t="str">
        <x:v>Fruits &amp; Vegetables</x:v>
      </x:c>
      <x:c r="E852" t="str">
        <x:v>Backordered</x:v>
      </x:c>
      <x:c r="F852" t="n">
        <x:v>13</x:v>
      </x:c>
      <x:c r="G852" t="n">
        <x:v>60</x:v>
      </x:c>
      <x:c r="H852" s="22" t="n">
        <x:v>23.4</x:v>
      </x:c>
      <x:c r="I852" t="n">
        <x:v>100</x:v>
      </x:c>
      <x:c r="J852" t="n">
        <x:v>100</x:v>
      </x:c>
    </x:row>
    <x:row r="853" ht="18" customHeight="1">
      <x:c r="A853" t="str">
        <x:v>00-963-2193</x:v>
      </x:c>
      <x:c r="B853" t="str">
        <x:v>Milk</x:v>
      </x:c>
      <x:c r="C853" t="str">
        <x:v>Thoughtsphere</x:v>
      </x:c>
      <x:c r="D853" t="str">
        <x:v>Dairy</x:v>
      </x:c>
      <x:c r="E853" t="str">
        <x:v>Discontinued</x:v>
      </x:c>
      <x:c r="F853" t="n">
        <x:v>43</x:v>
      </x:c>
      <x:c r="G853" t="n">
        <x:v>88</x:v>
      </x:c>
      <x:c r="H853" s="22" t="n">
        <x:v>43</x:v>
      </x:c>
      <x:c r="I853" t="n">
        <x:v>33</x:v>
      </x:c>
      <x:c r="J853" t="n">
        <x:v>0</x:v>
      </x:c>
    </x:row>
    <x:row r="854" ht="18" customHeight="1">
      <x:c r="A854" t="str">
        <x:v>99-420-3592</x:v>
      </x:c>
      <x:c r="B854" t="str">
        <x:v>Butter Biscuit</x:v>
      </x:c>
      <x:c r="C854" t="str">
        <x:v>Quatz</x:v>
      </x:c>
      <x:c r="D854" t="str">
        <x:v>Bakery</x:v>
      </x:c>
      <x:c r="E854" t="str">
        <x:v>Active</x:v>
      </x:c>
      <x:c r="F854" t="n">
        <x:v>22</x:v>
      </x:c>
      <x:c r="G854" t="n">
        <x:v>24</x:v>
      </x:c>
      <x:c r="H854" s="22" t="n">
        <x:v>132</x:v>
      </x:c>
      <x:c r="I854" t="n">
        <x:v>94</x:v>
      </x:c>
      <x:c r="J854" t="n">
        <x:v>94</x:v>
      </x:c>
    </x:row>
    <x:row r="855" ht="18" customHeight="1">
      <x:c r="A855" t="str">
        <x:v>76-623-7844</x:v>
      </x:c>
      <x:c r="B855" t="str">
        <x:v>Egg (Quail)</x:v>
      </x:c>
      <x:c r="C855" t="str">
        <x:v>Vinte</x:v>
      </x:c>
      <x:c r="D855" t="str">
        <x:v>Dairy</x:v>
      </x:c>
      <x:c r="E855" t="str">
        <x:v>Discontinued</x:v>
      </x:c>
      <x:c r="F855" t="n">
        <x:v>29</x:v>
      </x:c>
      <x:c r="G855" t="n">
        <x:v>33</x:v>
      </x:c>
      <x:c r="H855" s="22" t="n">
        <x:v>23.2</x:v>
      </x:c>
      <x:c r="I855" t="n">
        <x:v>88</x:v>
      </x:c>
      <x:c r="J855" t="n">
        <x:v>0</x:v>
      </x:c>
    </x:row>
    <x:row r="856" ht="18" customHeight="1">
      <x:c r="A856" t="str">
        <x:v>28-003-8065</x:v>
      </x:c>
      <x:c r="B856" t="str">
        <x:v>Almond Flour</x:v>
      </x:c>
      <x:c r="C856" t="str">
        <x:v>Voonte</x:v>
      </x:c>
      <x:c r="D856" t="str">
        <x:v>Grains &amp; Pulses</x:v>
      </x:c>
      <x:c r="E856" t="str">
        <x:v>Discontinued</x:v>
      </x:c>
      <x:c r="F856" t="n">
        <x:v>79</x:v>
      </x:c>
      <x:c r="G856" t="n">
        <x:v>47</x:v>
      </x:c>
      <x:c r="H856" s="22" t="n">
        <x:v>750.5</x:v>
      </x:c>
      <x:c r="I856" t="n">
        <x:v>51</x:v>
      </x:c>
      <x:c r="J856" t="n">
        <x:v>0</x:v>
      </x:c>
    </x:row>
    <x:row r="857" ht="18" customHeight="1">
      <x:c r="A857" t="str">
        <x:v>28-008-2951</x:v>
      </x:c>
      <x:c r="B857" t="str">
        <x:v>Broccoli</x:v>
      </x:c>
      <x:c r="C857" t="str">
        <x:v>Buzzster</x:v>
      </x:c>
      <x:c r="D857" t="str">
        <x:v>Fruits &amp; Vegetables</x:v>
      </x:c>
      <x:c r="E857" t="str">
        <x:v>Discontinued</x:v>
      </x:c>
      <x:c r="F857" t="n">
        <x:v>95</x:v>
      </x:c>
      <x:c r="G857" t="n">
        <x:v>29</x:v>
      </x:c>
      <x:c r="H857" s="22" t="n">
        <x:v>380</x:v>
      </x:c>
      <x:c r="I857" t="n">
        <x:v>28</x:v>
      </x:c>
      <x:c r="J857" t="n">
        <x:v>0</x:v>
      </x:c>
    </x:row>
    <x:row r="858" ht="18" customHeight="1">
      <x:c r="A858" t="str">
        <x:v>45-402-0421</x:v>
      </x:c>
      <x:c r="B858" t="str">
        <x:v>Swiss Cheese</x:v>
      </x:c>
      <x:c r="C858" t="str">
        <x:v>Quinu</x:v>
      </x:c>
      <x:c r="D858" t="str">
        <x:v>Dairy</x:v>
      </x:c>
      <x:c r="E858" t="str">
        <x:v>Active</x:v>
      </x:c>
      <x:c r="F858" t="n">
        <x:v>70</x:v>
      </x:c>
      <x:c r="G858" t="n">
        <x:v>84</x:v>
      </x:c>
      <x:c r="H858" s="22" t="n">
        <x:v>560</x:v>
      </x:c>
      <x:c r="I858" t="n">
        <x:v>72</x:v>
      </x:c>
      <x:c r="J858" t="n">
        <x:v>72</x:v>
      </x:c>
    </x:row>
    <x:row r="859" ht="18" customHeight="1">
      <x:c r="A859" t="str">
        <x:v>73-942-0508</x:v>
      </x:c>
      <x:c r="B859" t="str">
        <x:v>Kale</x:v>
      </x:c>
      <x:c r="C859" t="str">
        <x:v>Brightbean</x:v>
      </x:c>
      <x:c r="D859" t="str">
        <x:v>Fruits &amp; Vegetables</x:v>
      </x:c>
      <x:c r="E859" t="str">
        <x:v>Backordered</x:v>
      </x:c>
      <x:c r="F859" t="n">
        <x:v>61</x:v>
      </x:c>
      <x:c r="G859" t="n">
        <x:v>100</x:v>
      </x:c>
      <x:c r="H859" s="22" t="n">
        <x:v>244</x:v>
      </x:c>
      <x:c r="I859" t="n">
        <x:v>94</x:v>
      </x:c>
      <x:c r="J859" t="n">
        <x:v>94</x:v>
      </x:c>
    </x:row>
    <x:row r="860" ht="18" customHeight="1">
      <x:c r="A860" t="str">
        <x:v>22-266-9291</x:v>
      </x:c>
      <x:c r="B860" t="str">
        <x:v>Sardines</x:v>
      </x:c>
      <x:c r="C860" t="str">
        <x:v>Vinder</x:v>
      </x:c>
      <x:c r="D860" t="str">
        <x:v>Seafood</x:v>
      </x:c>
      <x:c r="E860" t="str">
        <x:v>Backordered</x:v>
      </x:c>
      <x:c r="F860" t="n">
        <x:v>11</x:v>
      </x:c>
      <x:c r="G860" t="n">
        <x:v>17</x:v>
      </x:c>
      <x:c r="H860" s="22" t="n">
        <x:v>66</x:v>
      </x:c>
      <x:c r="I860" t="n">
        <x:v>59</x:v>
      </x:c>
      <x:c r="J860" t="n">
        <x:v>59</x:v>
      </x:c>
    </x:row>
    <x:row r="861" ht="18" customHeight="1">
      <x:c r="A861" t="str">
        <x:v>06-068-6793</x:v>
      </x:c>
      <x:c r="B861" t="str">
        <x:v>Buttermilk</x:v>
      </x:c>
      <x:c r="C861" t="str">
        <x:v>Twitterbeat</x:v>
      </x:c>
      <x:c r="D861" t="str">
        <x:v>Dairy</x:v>
      </x:c>
      <x:c r="E861" t="str">
        <x:v>Discontinued</x:v>
      </x:c>
      <x:c r="F861" t="n">
        <x:v>39</x:v>
      </x:c>
      <x:c r="G861" t="n">
        <x:v>80</x:v>
      </x:c>
      <x:c r="H861" s="22" t="n">
        <x:v>97.5</x:v>
      </x:c>
      <x:c r="I861" t="n">
        <x:v>68</x:v>
      </x:c>
      <x:c r="J861" t="n">
        <x:v>0</x:v>
      </x:c>
    </x:row>
    <x:row r="862" ht="18" customHeight="1">
      <x:c r="A862" t="str">
        <x:v>58-063-8633</x:v>
      </x:c>
      <x:c r="B862" t="str">
        <x:v>Bell Pepper</x:v>
      </x:c>
      <x:c r="C862" t="str">
        <x:v>Skimia</x:v>
      </x:c>
      <x:c r="D862" t="str">
        <x:v>Fruits &amp; Vegetables</x:v>
      </x:c>
      <x:c r="E862" t="str">
        <x:v>Discontinued</x:v>
      </x:c>
      <x:c r="F862" t="n">
        <x:v>50</x:v>
      </x:c>
      <x:c r="G862" t="n">
        <x:v>3</x:v>
      </x:c>
      <x:c r="H862" s="22" t="n">
        <x:v>225</x:v>
      </x:c>
      <x:c r="I862" t="n">
        <x:v>88</x:v>
      </x:c>
      <x:c r="J862" t="n">
        <x:v>0</x:v>
      </x:c>
    </x:row>
    <x:row r="863" ht="18" customHeight="1">
      <x:c r="A863" t="str">
        <x:v>27-442-3654</x:v>
      </x:c>
      <x:c r="B863" t="str">
        <x:v>Herbal Tea</x:v>
      </x:c>
      <x:c r="C863" t="str">
        <x:v>Yoveo</x:v>
      </x:c>
      <x:c r="D863" t="str">
        <x:v>Beverages</x:v>
      </x:c>
      <x:c r="E863" t="str">
        <x:v>Active</x:v>
      </x:c>
      <x:c r="F863" t="n">
        <x:v>59</x:v>
      </x:c>
      <x:c r="G863" t="n">
        <x:v>17</x:v>
      </x:c>
      <x:c r="H863" s="22" t="n">
        <x:v>1770</x:v>
      </x:c>
      <x:c r="I863" t="n">
        <x:v>1</x:v>
      </x:c>
      <x:c r="J863" t="n">
        <x:v>0</x:v>
      </x:c>
    </x:row>
    <x:row r="864" ht="18" customHeight="1">
      <x:c r="A864" t="str">
        <x:v>03-043-9933</x:v>
      </x:c>
      <x:c r="B864" t="str">
        <x:v>Strawberries</x:v>
      </x:c>
      <x:c r="C864" t="str">
        <x:v>Yombu</x:v>
      </x:c>
      <x:c r="D864" t="str">
        <x:v>Fruits &amp; Vegetables</x:v>
      </x:c>
      <x:c r="E864" t="str">
        <x:v>Backordered</x:v>
      </x:c>
      <x:c r="F864" t="n">
        <x:v>16</x:v>
      </x:c>
      <x:c r="G864" t="n">
        <x:v>23</x:v>
      </x:c>
      <x:c r="H864" s="22" t="n">
        <x:v>97.6</x:v>
      </x:c>
      <x:c r="I864" t="n">
        <x:v>76</x:v>
      </x:c>
      <x:c r="J864" t="n">
        <x:v>76</x:v>
      </x:c>
    </x:row>
    <x:row r="865" ht="18" customHeight="1">
      <x:c r="A865" t="str">
        <x:v>99-137-1730</x:v>
      </x:c>
      <x:c r="B865" t="str">
        <x:v>Bread Flour</x:v>
      </x:c>
      <x:c r="C865" t="str">
        <x:v>Skyndu</x:v>
      </x:c>
      <x:c r="D865" t="str">
        <x:v>Grains &amp; Pulses</x:v>
      </x:c>
      <x:c r="E865" t="str">
        <x:v>Active</x:v>
      </x:c>
      <x:c r="F865" t="n">
        <x:v>62</x:v>
      </x:c>
      <x:c r="G865" t="n">
        <x:v>79</x:v>
      </x:c>
      <x:c r="H865" s="22" t="n">
        <x:v>93</x:v>
      </x:c>
      <x:c r="I865" t="n">
        <x:v>23</x:v>
      </x:c>
      <x:c r="J865" t="n">
        <x:v>23</x:v>
      </x:c>
    </x:row>
    <x:row r="866" ht="18" customHeight="1">
      <x:c r="A866" t="str">
        <x:v>09-622-7119</x:v>
      </x:c>
      <x:c r="B866" t="str">
        <x:v>Haddock</x:v>
      </x:c>
      <x:c r="C866" t="str">
        <x:v>Youtags</x:v>
      </x:c>
      <x:c r="D866" t="str">
        <x:v>Seafood</x:v>
      </x:c>
      <x:c r="E866" t="str">
        <x:v>Backordered</x:v>
      </x:c>
      <x:c r="F866" t="n">
        <x:v>30</x:v>
      </x:c>
      <x:c r="G866" t="n">
        <x:v>81</x:v>
      </x:c>
      <x:c r="H866" s="22" t="n">
        <x:v>270</x:v>
      </x:c>
      <x:c r="I866" t="n">
        <x:v>99</x:v>
      </x:c>
      <x:c r="J866" t="n">
        <x:v>99</x:v>
      </x:c>
    </x:row>
    <x:row r="867" ht="18" customHeight="1">
      <x:c r="A867" t="str">
        <x:v>95-356-1566</x:v>
      </x:c>
      <x:c r="B867" t="str">
        <x:v>Grapes</x:v>
      </x:c>
      <x:c r="C867" t="str">
        <x:v>Rhynyx</x:v>
      </x:c>
      <x:c r="D867" t="str">
        <x:v>Fruits &amp; Vegetables</x:v>
      </x:c>
      <x:c r="E867" t="str">
        <x:v>Backordered</x:v>
      </x:c>
      <x:c r="F867" t="n">
        <x:v>13</x:v>
      </x:c>
      <x:c r="G867" t="n">
        <x:v>61</x:v>
      </x:c>
      <x:c r="H867" s="22" t="n">
        <x:v>71.5</x:v>
      </x:c>
      <x:c r="I867" t="n">
        <x:v>77</x:v>
      </x:c>
      <x:c r="J867" t="n">
        <x:v>77</x:v>
      </x:c>
    </x:row>
    <x:row r="868" ht="18" customHeight="1">
      <x:c r="A868" t="str">
        <x:v>22-319-1377</x:v>
      </x:c>
      <x:c r="B868" t="str">
        <x:v>White Sugar</x:v>
      </x:c>
      <x:c r="C868" t="str">
        <x:v>Skyba</x:v>
      </x:c>
      <x:c r="D868" t="str">
        <x:v>Grains &amp; Pulses</x:v>
      </x:c>
      <x:c r="E868" t="str">
        <x:v>Active</x:v>
      </x:c>
      <x:c r="F868" t="n">
        <x:v>14</x:v>
      </x:c>
      <x:c r="G868" t="n">
        <x:v>16</x:v>
      </x:c>
      <x:c r="H868" s="22" t="n">
        <x:v>28</x:v>
      </x:c>
      <x:c r="I868" t="n">
        <x:v>93</x:v>
      </x:c>
      <x:c r="J868" t="n">
        <x:v>93</x:v>
      </x:c>
    </x:row>
    <x:row r="869" ht="18" customHeight="1">
      <x:c r="A869" t="str">
        <x:v>89-181-4523</x:v>
      </x:c>
      <x:c r="B869" t="str">
        <x:v>Wild Rice</x:v>
      </x:c>
      <x:c r="C869" t="str">
        <x:v>Devbug</x:v>
      </x:c>
      <x:c r="D869" t="str">
        <x:v>Grains &amp; Pulses</x:v>
      </x:c>
      <x:c r="E869" t="str">
        <x:v>Discontinued</x:v>
      </x:c>
      <x:c r="F869" t="n">
        <x:v>46</x:v>
      </x:c>
      <x:c r="G869" t="n">
        <x:v>6</x:v>
      </x:c>
      <x:c r="H869" s="22" t="n">
        <x:v>460</x:v>
      </x:c>
      <x:c r="I869" t="n">
        <x:v>64</x:v>
      </x:c>
      <x:c r="J869" t="n">
        <x:v>0</x:v>
      </x:c>
    </x:row>
    <x:row r="870" ht="18" customHeight="1">
      <x:c r="A870" t="str">
        <x:v>38-555-9147</x:v>
      </x:c>
      <x:c r="B870" t="str">
        <x:v>Black Coffee</x:v>
      </x:c>
      <x:c r="C870" t="str">
        <x:v>Aimbu</x:v>
      </x:c>
      <x:c r="D870" t="str">
        <x:v>Beverages</x:v>
      </x:c>
      <x:c r="E870" t="str">
        <x:v>Discontinued</x:v>
      </x:c>
      <x:c r="F870" t="n">
        <x:v>62</x:v>
      </x:c>
      <x:c r="G870" t="n">
        <x:v>23</x:v>
      </x:c>
      <x:c r="H870" s="22" t="n">
        <x:v>961</x:v>
      </x:c>
      <x:c r="I870" t="n">
        <x:v>25</x:v>
      </x:c>
      <x:c r="J870" t="n">
        <x:v>0</x:v>
      </x:c>
    </x:row>
    <x:row r="871" ht="18" customHeight="1">
      <x:c r="A871" t="str">
        <x:v>53-667-4109</x:v>
      </x:c>
      <x:c r="B871" t="str">
        <x:v>Onion</x:v>
      </x:c>
      <x:c r="C871" t="str">
        <x:v>Voolith</x:v>
      </x:c>
      <x:c r="D871" t="str">
        <x:v>Fruits &amp; Vegetables</x:v>
      </x:c>
      <x:c r="E871" t="str">
        <x:v>Active</x:v>
      </x:c>
      <x:c r="F871" t="n">
        <x:v>16</x:v>
      </x:c>
      <x:c r="G871" t="n">
        <x:v>75</x:v>
      </x:c>
      <x:c r="H871" s="22" t="n">
        <x:v>32</x:v>
      </x:c>
      <x:c r="I871" t="n">
        <x:v>42</x:v>
      </x:c>
      <x:c r="J871" t="n">
        <x:v>59</x:v>
      </x:c>
    </x:row>
    <x:row r="872" ht="18" customHeight="1">
      <x:c r="A872" t="str">
        <x:v>14-489-8669</x:v>
      </x:c>
      <x:c r="B872" t="str">
        <x:v>All-Purpose Flour</x:v>
      </x:c>
      <x:c r="C872" t="str">
        <x:v>Wikibox</x:v>
      </x:c>
      <x:c r="D872" t="str">
        <x:v>Grains &amp; Pulses</x:v>
      </x:c>
      <x:c r="E872" t="str">
        <x:v>Discontinued</x:v>
      </x:c>
      <x:c r="F872" t="n">
        <x:v>54</x:v>
      </x:c>
      <x:c r="G872" t="n">
        <x:v>69</x:v>
      </x:c>
      <x:c r="H872" s="22" t="n">
        <x:v>94.5</x:v>
      </x:c>
      <x:c r="I872" t="n">
        <x:v>68</x:v>
      </x:c>
      <x:c r="J872" t="n">
        <x:v>0</x:v>
      </x:c>
    </x:row>
    <x:row r="873" ht="18" customHeight="1">
      <x:c r="A873" t="str">
        <x:v>26-031-8070</x:v>
      </x:c>
      <x:c r="B873" t="str">
        <x:v>Vegetable Oil</x:v>
      </x:c>
      <x:c r="C873" t="str">
        <x:v>Trudeo</x:v>
      </x:c>
      <x:c r="D873" t="str">
        <x:v>Oils &amp; Fats</x:v>
      </x:c>
      <x:c r="E873" t="str">
        <x:v>Backordered</x:v>
      </x:c>
      <x:c r="F873" t="n">
        <x:v>57</x:v>
      </x:c>
      <x:c r="G873" t="n">
        <x:v>99</x:v>
      </x:c>
      <x:c r="H873" s="22" t="n">
        <x:v>114</x:v>
      </x:c>
      <x:c r="I873" t="n">
        <x:v>23</x:v>
      </x:c>
      <x:c r="J873" t="n">
        <x:v>42</x:v>
      </x:c>
    </x:row>
    <x:row r="874" ht="18" customHeight="1">
      <x:c r="A874" t="str">
        <x:v>47-221-2470</x:v>
      </x:c>
      <x:c r="B874" t="str">
        <x:v>Pomegranate</x:v>
      </x:c>
      <x:c r="C874" t="str">
        <x:v>Teklist</x:v>
      </x:c>
      <x:c r="D874" t="str">
        <x:v>Fruits &amp; Vegetables</x:v>
      </x:c>
      <x:c r="E874" t="str">
        <x:v>Active</x:v>
      </x:c>
      <x:c r="F874" t="n">
        <x:v>17</x:v>
      </x:c>
      <x:c r="G874" t="n">
        <x:v>45</x:v>
      </x:c>
      <x:c r="H874" s="22" t="n">
        <x:v>102</x:v>
      </x:c>
      <x:c r="I874" t="n">
        <x:v>44</x:v>
      </x:c>
      <x:c r="J874" t="n">
        <x:v>44</x:v>
      </x:c>
    </x:row>
    <x:row r="875" ht="18" customHeight="1">
      <x:c r="A875" t="str">
        <x:v>67-382-4435</x:v>
      </x:c>
      <x:c r="B875" t="str">
        <x:v>Green Beans</x:v>
      </x:c>
      <x:c r="C875" t="str">
        <x:v>Fivespan</x:v>
      </x:c>
      <x:c r="D875" t="str">
        <x:v>Fruits &amp; Vegetables</x:v>
      </x:c>
      <x:c r="E875" t="str">
        <x:v>Active</x:v>
      </x:c>
      <x:c r="F875" t="n">
        <x:v>99</x:v>
      </x:c>
      <x:c r="G875" t="n">
        <x:v>37</x:v>
      </x:c>
      <x:c r="H875" s="22" t="n">
        <x:v>207.9</x:v>
      </x:c>
      <x:c r="I875" t="n">
        <x:v>74</x:v>
      </x:c>
      <x:c r="J875" t="n">
        <x:v>0</x:v>
      </x:c>
    </x:row>
    <x:row r="876" ht="18" customHeight="1">
      <x:c r="A876" t="str">
        <x:v>94-029-2717</x:v>
      </x:c>
      <x:c r="B876" t="str">
        <x:v>Broccoli</x:v>
      </x:c>
      <x:c r="C876" t="str">
        <x:v>Jetpulse</x:v>
      </x:c>
      <x:c r="D876" t="str">
        <x:v>Fruits &amp; Vegetables</x:v>
      </x:c>
      <x:c r="E876" t="str">
        <x:v>Discontinued</x:v>
      </x:c>
      <x:c r="F876" t="n">
        <x:v>40</x:v>
      </x:c>
      <x:c r="G876" t="n">
        <x:v>8</x:v>
      </x:c>
      <x:c r="H876" s="22" t="n">
        <x:v>160</x:v>
      </x:c>
      <x:c r="I876" t="n">
        <x:v>98</x:v>
      </x:c>
      <x:c r="J876" t="n">
        <x:v>0</x:v>
      </x:c>
    </x:row>
    <x:row r="877" ht="18" customHeight="1">
      <x:c r="A877" t="str">
        <x:v>47-866-6589</x:v>
      </x:c>
      <x:c r="B877" t="str">
        <x:v>Egg (Duck)</x:v>
      </x:c>
      <x:c r="C877" t="str">
        <x:v>Dynazzy</x:v>
      </x:c>
      <x:c r="D877" t="str">
        <x:v>Dairy</x:v>
      </x:c>
      <x:c r="E877" t="str">
        <x:v>Discontinued</x:v>
      </x:c>
      <x:c r="F877" t="n">
        <x:v>41</x:v>
      </x:c>
      <x:c r="G877" t="n">
        <x:v>61</x:v>
      </x:c>
      <x:c r="H877" s="22" t="n">
        <x:v>41</x:v>
      </x:c>
      <x:c r="I877" t="n">
        <x:v>69</x:v>
      </x:c>
      <x:c r="J877" t="n">
        <x:v>0</x:v>
      </x:c>
    </x:row>
    <x:row r="878" ht="18" customHeight="1">
      <x:c r="A878" t="str">
        <x:v>94-355-3070</x:v>
      </x:c>
      <x:c r="B878" t="str">
        <x:v>Tilapia</x:v>
      </x:c>
      <x:c r="C878" t="str">
        <x:v>Jabbercube</x:v>
      </x:c>
      <x:c r="D878" t="str">
        <x:v>Seafood</x:v>
      </x:c>
      <x:c r="E878" t="str">
        <x:v>Discontinued</x:v>
      </x:c>
      <x:c r="F878" t="n">
        <x:v>14</x:v>
      </x:c>
      <x:c r="G878" t="n">
        <x:v>52</x:v>
      </x:c>
      <x:c r="H878" s="22" t="n">
        <x:v>95.2</x:v>
      </x:c>
      <x:c r="I878" t="n">
        <x:v>80</x:v>
      </x:c>
      <x:c r="J878" t="n">
        <x:v>0</x:v>
      </x:c>
    </x:row>
    <x:row r="879" ht="18" customHeight="1">
      <x:c r="A879" t="str">
        <x:v>82-342-7339</x:v>
      </x:c>
      <x:c r="B879" t="str">
        <x:v>Vanilla Biscuit</x:v>
      </x:c>
      <x:c r="C879" t="str">
        <x:v>Yozio</x:v>
      </x:c>
      <x:c r="D879" t="str">
        <x:v>Bakery</x:v>
      </x:c>
      <x:c r="E879" t="str">
        <x:v>Backordered</x:v>
      </x:c>
      <x:c r="F879" t="n">
        <x:v>80</x:v>
      </x:c>
      <x:c r="G879" t="n">
        <x:v>61</x:v>
      </x:c>
      <x:c r="H879" s="22" t="n">
        <x:v>440</x:v>
      </x:c>
      <x:c r="I879" t="n">
        <x:v>23</x:v>
      </x:c>
      <x:c r="J879" t="n">
        <x:v>0</x:v>
      </x:c>
    </x:row>
    <x:row r="880" ht="18" customHeight="1">
      <x:c r="A880" t="str">
        <x:v>80-459-5950</x:v>
      </x:c>
      <x:c r="B880" t="str">
        <x:v>Arabica Coffee</x:v>
      </x:c>
      <x:c r="C880" t="str">
        <x:v>Rhyzio</x:v>
      </x:c>
      <x:c r="D880" t="str">
        <x:v>Beverages</x:v>
      </x:c>
      <x:c r="E880" t="str">
        <x:v>Backordered</x:v>
      </x:c>
      <x:c r="F880" t="n">
        <x:v>74</x:v>
      </x:c>
      <x:c r="G880" t="n">
        <x:v>10</x:v>
      </x:c>
      <x:c r="H880" s="22" t="n">
        <x:v>1480</x:v>
      </x:c>
      <x:c r="I880" t="n">
        <x:v>74</x:v>
      </x:c>
      <x:c r="J880" t="n">
        <x:v>0</x:v>
      </x:c>
    </x:row>
    <x:row r="881" ht="18" customHeight="1">
      <x:c r="A881" t="str">
        <x:v>67-248-6306</x:v>
      </x:c>
      <x:c r="B881" t="str">
        <x:v>Cauliflower</x:v>
      </x:c>
      <x:c r="C881" t="str">
        <x:v>Avamm</x:v>
      </x:c>
      <x:c r="D881" t="str">
        <x:v>Fruits &amp; Vegetables</x:v>
      </x:c>
      <x:c r="E881" t="str">
        <x:v>Active</x:v>
      </x:c>
      <x:c r="F881" t="n">
        <x:v>77</x:v>
      </x:c>
      <x:c r="G881" t="n">
        <x:v>54</x:v>
      </x:c>
      <x:c r="H881" s="22" t="n">
        <x:v>192.5</x:v>
      </x:c>
      <x:c r="I881" t="n">
        <x:v>10</x:v>
      </x:c>
      <x:c r="J881" t="n">
        <x:v>0</x:v>
      </x:c>
    </x:row>
    <x:row r="882" ht="18" customHeight="1">
      <x:c r="A882" t="str">
        <x:v>68-973-8812</x:v>
      </x:c>
      <x:c r="B882" t="str">
        <x:v>Sweet Potato</x:v>
      </x:c>
      <x:c r="C882" t="str">
        <x:v>Yodo</x:v>
      </x:c>
      <x:c r="D882" t="str">
        <x:v>Fruits &amp; Vegetables</x:v>
      </x:c>
      <x:c r="E882" t="str">
        <x:v>Discontinued</x:v>
      </x:c>
      <x:c r="F882" t="n">
        <x:v>44</x:v>
      </x:c>
      <x:c r="G882" t="n">
        <x:v>77</x:v>
      </x:c>
      <x:c r="H882" s="22" t="n">
        <x:v>88</x:v>
      </x:c>
      <x:c r="I882" t="n">
        <x:v>45</x:v>
      </x:c>
      <x:c r="J882" t="n">
        <x:v>0</x:v>
      </x:c>
    </x:row>
    <x:row r="883" ht="18" customHeight="1">
      <x:c r="A883" t="str">
        <x:v>11-325-7396</x:v>
      </x:c>
      <x:c r="B883" t="str">
        <x:v>Mango</x:v>
      </x:c>
      <x:c r="C883" t="str">
        <x:v>Skipfire</x:v>
      </x:c>
      <x:c r="D883" t="str">
        <x:v>Fruits &amp; Vegetables</x:v>
      </x:c>
      <x:c r="E883" t="str">
        <x:v>Discontinued</x:v>
      </x:c>
      <x:c r="F883" t="n">
        <x:v>92</x:v>
      </x:c>
      <x:c r="G883" t="n">
        <x:v>46</x:v>
      </x:c>
      <x:c r="H883" s="22" t="n">
        <x:v>460</x:v>
      </x:c>
      <x:c r="I883" t="n">
        <x:v>13</x:v>
      </x:c>
      <x:c r="J883" t="n">
        <x:v>0</x:v>
      </x:c>
    </x:row>
    <x:row r="884" ht="18" customHeight="1">
      <x:c r="A884" t="str">
        <x:v>68-761-6907</x:v>
      </x:c>
      <x:c r="B884" t="str">
        <x:v>Zucchini</x:v>
      </x:c>
      <x:c r="C884" t="str">
        <x:v>Brainverse</x:v>
      </x:c>
      <x:c r="D884" t="str">
        <x:v>Fruits &amp; Vegetables</x:v>
      </x:c>
      <x:c r="E884" t="str">
        <x:v>Discontinued</x:v>
      </x:c>
      <x:c r="F884" t="n">
        <x:v>26</x:v>
      </x:c>
      <x:c r="G884" t="n">
        <x:v>18</x:v>
      </x:c>
      <x:c r="H884" s="22" t="n">
        <x:v>65</x:v>
      </x:c>
      <x:c r="I884" t="n">
        <x:v>62</x:v>
      </x:c>
      <x:c r="J884" t="n">
        <x:v>0</x:v>
      </x:c>
    </x:row>
    <x:row r="885" ht="18" customHeight="1">
      <x:c r="A885" t="str">
        <x:v>62-509-0666</x:v>
      </x:c>
      <x:c r="B885" t="str">
        <x:v>Almond Flour</x:v>
      </x:c>
      <x:c r="C885" t="str">
        <x:v>Brainverse</x:v>
      </x:c>
      <x:c r="D885" t="str">
        <x:v>Grains &amp; Pulses</x:v>
      </x:c>
      <x:c r="E885" t="str">
        <x:v>Backordered</x:v>
      </x:c>
      <x:c r="F885" t="n">
        <x:v>13</x:v>
      </x:c>
      <x:c r="G885" t="n">
        <x:v>88</x:v>
      </x:c>
      <x:c r="H885" s="22" t="n">
        <x:v>123.5</x:v>
      </x:c>
      <x:c r="I885" t="n">
        <x:v>7</x:v>
      </x:c>
      <x:c r="J885" t="n">
        <x:v>75</x:v>
      </x:c>
    </x:row>
    <x:row r="886" ht="18" customHeight="1">
      <x:c r="A886" t="str">
        <x:v>44-476-0390</x:v>
      </x:c>
      <x:c r="B886" t="str">
        <x:v>Lemon</x:v>
      </x:c>
      <x:c r="C886" t="str">
        <x:v>Flashspan</x:v>
      </x:c>
      <x:c r="D886" t="str">
        <x:v>Fruits &amp; Vegetables</x:v>
      </x:c>
      <x:c r="E886" t="str">
        <x:v>Active</x:v>
      </x:c>
      <x:c r="F886" t="n">
        <x:v>90</x:v>
      </x:c>
      <x:c r="G886" t="n">
        <x:v>92</x:v>
      </x:c>
      <x:c r="H886" s="22" t="n">
        <x:v>225</x:v>
      </x:c>
      <x:c r="I886" t="n">
        <x:v>56</x:v>
      </x:c>
      <x:c r="J886" t="n">
        <x:v>56</x:v>
      </x:c>
    </x:row>
    <x:row r="887" ht="18" customHeight="1">
      <x:c r="A887" t="str">
        <x:v>08-213-2058</x:v>
      </x:c>
      <x:c r="B887" t="str">
        <x:v>Sour Cream</x:v>
      </x:c>
      <x:c r="C887" t="str">
        <x:v>Babblestorm</x:v>
      </x:c>
      <x:c r="D887" t="str">
        <x:v>Dairy</x:v>
      </x:c>
      <x:c r="E887" t="str">
        <x:v>Active</x:v>
      </x:c>
      <x:c r="F887" t="n">
        <x:v>43</x:v>
      </x:c>
      <x:c r="G887" t="n">
        <x:v>73</x:v>
      </x:c>
      <x:c r="H887" s="22" t="n">
        <x:v>172</x:v>
      </x:c>
      <x:c r="I887" t="n">
        <x:v>14</x:v>
      </x:c>
      <x:c r="J887" t="n">
        <x:v>30</x:v>
      </x:c>
    </x:row>
    <x:row r="888" ht="18" customHeight="1">
      <x:c r="A888" t="str">
        <x:v>35-529-2933</x:v>
      </x:c>
      <x:c r="B888" t="str">
        <x:v>Broccoli</x:v>
      </x:c>
      <x:c r="C888" t="str">
        <x:v>Jabbersphere</x:v>
      </x:c>
      <x:c r="D888" t="str">
        <x:v>Fruits &amp; Vegetables</x:v>
      </x:c>
      <x:c r="E888" t="str">
        <x:v>Discontinued</x:v>
      </x:c>
      <x:c r="F888" t="n">
        <x:v>85</x:v>
      </x:c>
      <x:c r="G888" t="n">
        <x:v>54</x:v>
      </x:c>
      <x:c r="H888" s="22" t="n">
        <x:v>340</x:v>
      </x:c>
      <x:c r="I888" t="n">
        <x:v>18</x:v>
      </x:c>
      <x:c r="J888" t="n">
        <x:v>0</x:v>
      </x:c>
    </x:row>
    <x:row r="889" ht="18" customHeight="1">
      <x:c r="A889" t="str">
        <x:v>24-364-3341</x:v>
      </x:c>
      <x:c r="B889" t="str">
        <x:v>Egg (Turkey)</x:v>
      </x:c>
      <x:c r="C889" t="str">
        <x:v>Topiclounge</x:v>
      </x:c>
      <x:c r="D889" t="str">
        <x:v>Dairy</x:v>
      </x:c>
      <x:c r="E889" t="str">
        <x:v>Discontinued</x:v>
      </x:c>
      <x:c r="F889" t="n">
        <x:v>44</x:v>
      </x:c>
      <x:c r="G889" t="n">
        <x:v>84</x:v>
      </x:c>
      <x:c r="H889" s="22" t="n">
        <x:v>110</x:v>
      </x:c>
      <x:c r="I889" t="n">
        <x:v>63</x:v>
      </x:c>
      <x:c r="J889" t="n">
        <x:v>0</x:v>
      </x:c>
    </x:row>
    <x:row r="890" ht="18" customHeight="1">
      <x:c r="A890" t="str">
        <x:v>65-644-1394</x:v>
      </x:c>
      <x:c r="B890" t="str">
        <x:v>Pear</x:v>
      </x:c>
      <x:c r="C890" t="str">
        <x:v>Lazz</x:v>
      </x:c>
      <x:c r="D890" t="str">
        <x:v>Fruits &amp; Vegetables</x:v>
      </x:c>
      <x:c r="E890" t="str">
        <x:v>Active</x:v>
      </x:c>
      <x:c r="F890" t="n">
        <x:v>26</x:v>
      </x:c>
      <x:c r="G890" t="n">
        <x:v>95</x:v>
      </x:c>
      <x:c r="H890" s="22" t="n">
        <x:v>117</x:v>
      </x:c>
      <x:c r="I890" t="n">
        <x:v>36</x:v>
      </x:c>
      <x:c r="J890" t="n">
        <x:v>69</x:v>
      </x:c>
    </x:row>
    <x:row r="891" ht="18" customHeight="1">
      <x:c r="A891" t="str">
        <x:v>88-401-3700</x:v>
      </x:c>
      <x:c r="B891" t="str">
        <x:v>Cauliflower</x:v>
      </x:c>
      <x:c r="C891" t="str">
        <x:v>Jabberstorm</x:v>
      </x:c>
      <x:c r="D891" t="str">
        <x:v>Fruits &amp; Vegetables</x:v>
      </x:c>
      <x:c r="E891" t="str">
        <x:v>Discontinued</x:v>
      </x:c>
      <x:c r="F891" t="n">
        <x:v>86</x:v>
      </x:c>
      <x:c r="G891" t="n">
        <x:v>66</x:v>
      </x:c>
      <x:c r="H891" s="22" t="n">
        <x:v>215</x:v>
      </x:c>
      <x:c r="I891" t="n">
        <x:v>24</x:v>
      </x:c>
      <x:c r="J891" t="n">
        <x:v>0</x:v>
      </x:c>
    </x:row>
    <x:row r="892" ht="18" customHeight="1">
      <x:c r="A892" t="str">
        <x:v>47-441-7682</x:v>
      </x:c>
      <x:c r="B892" t="str">
        <x:v>Digestive Biscuit</x:v>
      </x:c>
      <x:c r="C892" t="str">
        <x:v>Vimbo</x:v>
      </x:c>
      <x:c r="D892" t="str">
        <x:v>Bakery</x:v>
      </x:c>
      <x:c r="E892" t="str">
        <x:v>Discontinued</x:v>
      </x:c>
      <x:c r="F892" t="n">
        <x:v>40</x:v>
      </x:c>
      <x:c r="G892" t="n">
        <x:v>91</x:v>
      </x:c>
      <x:c r="H892" s="22" t="n">
        <x:v>160</x:v>
      </x:c>
      <x:c r="I892" t="n">
        <x:v>24</x:v>
      </x:c>
      <x:c r="J892" t="n">
        <x:v>0</x:v>
      </x:c>
    </x:row>
    <x:row r="893" ht="18" customHeight="1">
      <x:c r="A893" t="str">
        <x:v>68-977-2498</x:v>
      </x:c>
      <x:c r="B893" t="str">
        <x:v>Grapes</x:v>
      </x:c>
      <x:c r="C893" t="str">
        <x:v>Skinix</x:v>
      </x:c>
      <x:c r="D893" t="str">
        <x:v>Fruits &amp; Vegetables</x:v>
      </x:c>
      <x:c r="E893" t="str">
        <x:v>Backordered</x:v>
      </x:c>
      <x:c r="F893" t="n">
        <x:v>88</x:v>
      </x:c>
      <x:c r="G893" t="n">
        <x:v>99</x:v>
      </x:c>
      <x:c r="H893" s="22" t="n">
        <x:v>484</x:v>
      </x:c>
      <x:c r="I893" t="n">
        <x:v>41</x:v>
      </x:c>
      <x:c r="J893" t="n">
        <x:v>41</x:v>
      </x:c>
    </x:row>
    <x:row r="894" ht="18" customHeight="1">
      <x:c r="A894" t="str">
        <x:v>37-567-3218</x:v>
      </x:c>
      <x:c r="B894" t="str">
        <x:v>Almond Flour</x:v>
      </x:c>
      <x:c r="C894" t="str">
        <x:v>Trilia</x:v>
      </x:c>
      <x:c r="D894" t="str">
        <x:v>Grains &amp; Pulses</x:v>
      </x:c>
      <x:c r="E894" t="str">
        <x:v>Backordered</x:v>
      </x:c>
      <x:c r="F894" t="n">
        <x:v>37</x:v>
      </x:c>
      <x:c r="G894" t="n">
        <x:v>47</x:v>
      </x:c>
      <x:c r="H894" s="22" t="n">
        <x:v>351.5</x:v>
      </x:c>
      <x:c r="I894" t="n">
        <x:v>34</x:v>
      </x:c>
      <x:c r="J894" t="n">
        <x:v>34</x:v>
      </x:c>
    </x:row>
    <x:row r="895" ht="18" customHeight="1">
      <x:c r="A895" t="str">
        <x:v>87-903-3486</x:v>
      </x:c>
      <x:c r="B895" t="str">
        <x:v>Peanut Oil</x:v>
      </x:c>
      <x:c r="C895" t="str">
        <x:v>Twitterbeat</x:v>
      </x:c>
      <x:c r="D895" t="str">
        <x:v>Oils &amp; Fats</x:v>
      </x:c>
      <x:c r="E895" t="str">
        <x:v>Active</x:v>
      </x:c>
      <x:c r="F895" t="n">
        <x:v>21</x:v>
      </x:c>
      <x:c r="G895" t="n">
        <x:v>25</x:v>
      </x:c>
      <x:c r="H895" s="22" t="n">
        <x:v>84</x:v>
      </x:c>
      <x:c r="I895" t="n">
        <x:v>39</x:v>
      </x:c>
      <x:c r="J895" t="n">
        <x:v>39</x:v>
      </x:c>
    </x:row>
    <x:row r="896" ht="18" customHeight="1">
      <x:c r="A896" t="str">
        <x:v>96-316-7600</x:v>
      </x:c>
      <x:c r="B896" t="str">
        <x:v>Bell Pepper</x:v>
      </x:c>
      <x:c r="C896" t="str">
        <x:v>Linklinks</x:v>
      </x:c>
      <x:c r="D896" t="str">
        <x:v>Fruits &amp; Vegetables</x:v>
      </x:c>
      <x:c r="E896" t="str">
        <x:v>Discontinued</x:v>
      </x:c>
      <x:c r="F896" t="n">
        <x:v>70</x:v>
      </x:c>
      <x:c r="G896" t="n">
        <x:v>31</x:v>
      </x:c>
      <x:c r="H896" s="22" t="n">
        <x:v>315</x:v>
      </x:c>
      <x:c r="I896" t="n">
        <x:v>55</x:v>
      </x:c>
      <x:c r="J896" t="n">
        <x:v>0</x:v>
      </x:c>
    </x:row>
    <x:row r="897" ht="18" customHeight="1">
      <x:c r="A897" t="str">
        <x:v>00-842-9790</x:v>
      </x:c>
      <x:c r="B897" t="str">
        <x:v>Egg (Goose)</x:v>
      </x:c>
      <x:c r="C897" t="str">
        <x:v>Oba</x:v>
      </x:c>
      <x:c r="D897" t="str">
        <x:v>Dairy</x:v>
      </x:c>
      <x:c r="E897" t="str">
        <x:v>Backordered</x:v>
      </x:c>
      <x:c r="F897" t="n">
        <x:v>65</x:v>
      </x:c>
      <x:c r="G897" t="n">
        <x:v>94</x:v>
      </x:c>
      <x:c r="H897" s="22" t="n">
        <x:v>162.5</x:v>
      </x:c>
      <x:c r="I897" t="n">
        <x:v>4</x:v>
      </x:c>
      <x:c r="J897" t="n">
        <x:v>29</x:v>
      </x:c>
    </x:row>
    <x:row r="898" ht="18" customHeight="1">
      <x:c r="A898" t="str">
        <x:v>96-164-0607</x:v>
      </x:c>
      <x:c r="B898" t="str">
        <x:v>Coconut Oil</x:v>
      </x:c>
      <x:c r="C898" t="str">
        <x:v>Browsezoom</x:v>
      </x:c>
      <x:c r="D898" t="str">
        <x:v>Oils &amp; Fats</x:v>
      </x:c>
      <x:c r="E898" t="str">
        <x:v>Discontinued</x:v>
      </x:c>
      <x:c r="F898" t="n">
        <x:v>89</x:v>
      </x:c>
      <x:c r="G898" t="n">
        <x:v>79</x:v>
      </x:c>
      <x:c r="H898" s="22" t="n">
        <x:v>445</x:v>
      </x:c>
      <x:c r="I898" t="n">
        <x:v>66</x:v>
      </x:c>
      <x:c r="J898" t="n">
        <x:v>0</x:v>
      </x:c>
    </x:row>
    <x:row r="899" ht="18" customHeight="1">
      <x:c r="A899" t="str">
        <x:v>04-240-2226</x:v>
      </x:c>
      <x:c r="B899" t="str">
        <x:v>Olive Oil</x:v>
      </x:c>
      <x:c r="C899" t="str">
        <x:v>Kamba</x:v>
      </x:c>
      <x:c r="D899" t="str">
        <x:v>Oils &amp; Fats</x:v>
      </x:c>
      <x:c r="E899" t="str">
        <x:v>Discontinued</x:v>
      </x:c>
      <x:c r="F899" t="n">
        <x:v>47</x:v>
      </x:c>
      <x:c r="G899" t="n">
        <x:v>48</x:v>
      </x:c>
      <x:c r="H899" s="22" t="n">
        <x:v>282</x:v>
      </x:c>
      <x:c r="I899" t="n">
        <x:v>73</x:v>
      </x:c>
      <x:c r="J899" t="n">
        <x:v>0</x:v>
      </x:c>
    </x:row>
    <x:row r="900" ht="18" customHeight="1">
      <x:c r="A900" t="str">
        <x:v>97-772-2336</x:v>
      </x:c>
      <x:c r="B900" t="str">
        <x:v>Pineapple</x:v>
      </x:c>
      <x:c r="C900" t="str">
        <x:v>Rooxo</x:v>
      </x:c>
      <x:c r="D900" t="str">
        <x:v>Fruits &amp; Vegetables</x:v>
      </x:c>
      <x:c r="E900" t="str">
        <x:v>Discontinued</x:v>
      </x:c>
      <x:c r="F900" t="n">
        <x:v>70</x:v>
      </x:c>
      <x:c r="G900" t="n">
        <x:v>30</x:v>
      </x:c>
      <x:c r="H900" s="22" t="n">
        <x:v>245</x:v>
      </x:c>
      <x:c r="I900" t="n">
        <x:v>69</x:v>
      </x:c>
      <x:c r="J900" t="n">
        <x:v>0</x:v>
      </x:c>
    </x:row>
    <x:row r="901" ht="18" customHeight="1">
      <x:c r="A901" t="str">
        <x:v>63-822-5278</x:v>
      </x:c>
      <x:c r="B901" t="str">
        <x:v>Pomegranate</x:v>
      </x:c>
      <x:c r="C901" t="str">
        <x:v>Kamba</x:v>
      </x:c>
      <x:c r="D901" t="str">
        <x:v>Fruits &amp; Vegetables</x:v>
      </x:c>
      <x:c r="E901" t="str">
        <x:v>Backordered</x:v>
      </x:c>
      <x:c r="F901" t="n">
        <x:v>14</x:v>
      </x:c>
      <x:c r="G901" t="n">
        <x:v>66</x:v>
      </x:c>
      <x:c r="H901" s="22" t="n">
        <x:v>84</x:v>
      </x:c>
      <x:c r="I901" t="n">
        <x:v>1</x:v>
      </x:c>
      <x:c r="J901" t="n">
        <x:v>52</x:v>
      </x:c>
    </x:row>
    <x:row r="902" ht="18" customHeight="1">
      <x:c r="A902" t="str">
        <x:v>19-967-0632</x:v>
      </x:c>
      <x:c r="B902" t="str">
        <x:v>Short Grain Rice</x:v>
      </x:c>
      <x:c r="C902" t="str">
        <x:v>Yombu</x:v>
      </x:c>
      <x:c r="D902" t="str">
        <x:v>Grains &amp; Pulses</x:v>
      </x:c>
      <x:c r="E902" t="str">
        <x:v>Discontinued</x:v>
      </x:c>
      <x:c r="F902" t="n">
        <x:v>53</x:v>
      </x:c>
      <x:c r="G902" t="n">
        <x:v>86</x:v>
      </x:c>
      <x:c r="H902" s="22" t="n">
        <x:v>159</x:v>
      </x:c>
      <x:c r="I902" t="n">
        <x:v>54</x:v>
      </x:c>
      <x:c r="J902" t="n">
        <x:v>0</x:v>
      </x:c>
    </x:row>
    <x:row r="903" ht="18" customHeight="1">
      <x:c r="A903" t="str">
        <x:v>28-986-8001</x:v>
      </x:c>
      <x:c r="B903" t="str">
        <x:v>Pomegranate</x:v>
      </x:c>
      <x:c r="C903" t="str">
        <x:v>Kwideo</x:v>
      </x:c>
      <x:c r="D903" t="str">
        <x:v>Fruits &amp; Vegetables</x:v>
      </x:c>
      <x:c r="E903" t="str">
        <x:v>Active</x:v>
      </x:c>
      <x:c r="F903" t="n">
        <x:v>65</x:v>
      </x:c>
      <x:c r="G903" t="n">
        <x:v>69</x:v>
      </x:c>
      <x:c r="H903" s="22" t="n">
        <x:v>390</x:v>
      </x:c>
      <x:c r="I903" t="n">
        <x:v>4</x:v>
      </x:c>
      <x:c r="J903" t="n">
        <x:v>4</x:v>
      </x:c>
    </x:row>
    <x:row r="904" ht="18" customHeight="1">
      <x:c r="A904" t="str">
        <x:v>44-128-2185</x:v>
      </x:c>
      <x:c r="B904" t="str">
        <x:v>Jasmine Rice</x:v>
      </x:c>
      <x:c r="C904" t="str">
        <x:v>Katz</x:v>
      </x:c>
      <x:c r="D904" t="str">
        <x:v>Grains &amp; Pulses</x:v>
      </x:c>
      <x:c r="E904" t="str">
        <x:v>Backordered</x:v>
      </x:c>
      <x:c r="F904" t="n">
        <x:v>98</x:v>
      </x:c>
      <x:c r="G904" t="n">
        <x:v>20</x:v>
      </x:c>
      <x:c r="H904" s="22" t="n">
        <x:v>465.5</x:v>
      </x:c>
      <x:c r="I904" t="n">
        <x:v>81</x:v>
      </x:c>
      <x:c r="J904" t="n">
        <x:v>0</x:v>
      </x:c>
    </x:row>
    <x:row r="905" ht="18" customHeight="1">
      <x:c r="A905" t="str">
        <x:v>84-327-7787</x:v>
      </x:c>
      <x:c r="B905" t="str">
        <x:v>Egg (Chicken)</x:v>
      </x:c>
      <x:c r="C905" t="str">
        <x:v>Bubblemix</x:v>
      </x:c>
      <x:c r="D905" t="str">
        <x:v>Dairy</x:v>
      </x:c>
      <x:c r="E905" t="str">
        <x:v>Discontinued</x:v>
      </x:c>
      <x:c r="F905" t="n">
        <x:v>83</x:v>
      </x:c>
      <x:c r="G905" t="n">
        <x:v>35</x:v>
      </x:c>
      <x:c r="H905" s="22" t="n">
        <x:v>16.6</x:v>
      </x:c>
      <x:c r="I905" t="n">
        <x:v>43</x:v>
      </x:c>
      <x:c r="J905" t="n">
        <x:v>0</x:v>
      </x:c>
    </x:row>
    <x:row r="906" ht="18" customHeight="1">
      <x:c r="A906" t="str">
        <x:v>50-364-5828</x:v>
      </x:c>
      <x:c r="B906" t="str">
        <x:v>Coconut</x:v>
      </x:c>
      <x:c r="C906" t="str">
        <x:v>Mydo</x:v>
      </x:c>
      <x:c r="D906" t="str">
        <x:v>Fruits &amp; Vegetables</x:v>
      </x:c>
      <x:c r="E906" t="str">
        <x:v>Active</x:v>
      </x:c>
      <x:c r="F906" t="n">
        <x:v>89</x:v>
      </x:c>
      <x:c r="G906" t="n">
        <x:v>57</x:v>
      </x:c>
      <x:c r="H906" s="22" t="n">
        <x:v>445</x:v>
      </x:c>
      <x:c r="I906" t="n">
        <x:v>92</x:v>
      </x:c>
      <x:c r="J906" t="n">
        <x:v>0</x:v>
      </x:c>
    </x:row>
    <x:row r="907" ht="18" customHeight="1">
      <x:c r="A907" t="str">
        <x:v>65-368-2479</x:v>
      </x:c>
      <x:c r="B907" t="str">
        <x:v>Egg (Turkey)</x:v>
      </x:c>
      <x:c r="C907" t="str">
        <x:v>Browsedrive</x:v>
      </x:c>
      <x:c r="D907" t="str">
        <x:v>Dairy</x:v>
      </x:c>
      <x:c r="E907" t="str">
        <x:v>Active</x:v>
      </x:c>
      <x:c r="F907" t="n">
        <x:v>23</x:v>
      </x:c>
      <x:c r="G907" t="n">
        <x:v>21</x:v>
      </x:c>
      <x:c r="H907" s="22" t="n">
        <x:v>55.2</x:v>
      </x:c>
      <x:c r="I907" t="n">
        <x:v>59</x:v>
      </x:c>
      <x:c r="J907" t="n">
        <x:v>0</x:v>
      </x:c>
    </x:row>
    <x:row r="908" ht="18" customHeight="1">
      <x:c r="A908" t="str">
        <x:v>17-253-5688</x:v>
      </x:c>
      <x:c r="B908" t="str">
        <x:v>Greek Yogurt</x:v>
      </x:c>
      <x:c r="C908" t="str">
        <x:v>Shufflester</x:v>
      </x:c>
      <x:c r="D908" t="str">
        <x:v>Dairy</x:v>
      </x:c>
      <x:c r="E908" t="str">
        <x:v>Backordered</x:v>
      </x:c>
      <x:c r="F908" t="n">
        <x:v>39</x:v>
      </x:c>
      <x:c r="G908" t="n">
        <x:v>55</x:v>
      </x:c>
      <x:c r="H908" s="22" t="n">
        <x:v>117</x:v>
      </x:c>
      <x:c r="I908" t="n">
        <x:v>39</x:v>
      </x:c>
      <x:c r="J908" t="n">
        <x:v>39</x:v>
      </x:c>
    </x:row>
    <x:row r="909" ht="18" customHeight="1">
      <x:c r="A909" t="str">
        <x:v>29-205-1132</x:v>
      </x:c>
      <x:c r="B909" t="str">
        <x:v>Sushi Rice</x:v>
      </x:c>
      <x:c r="C909" t="str">
        <x:v>Jaxnation</x:v>
      </x:c>
      <x:c r="D909" t="str">
        <x:v>Grains &amp; Pulses</x:v>
      </x:c>
      <x:c r="E909" t="str">
        <x:v>Discontinued</x:v>
      </x:c>
      <x:c r="F909" t="n">
        <x:v>22</x:v>
      </x:c>
      <x:c r="G909" t="n">
        <x:v>72</x:v>
      </x:c>
      <x:c r="H909" s="22" t="n">
        <x:v>99</x:v>
      </x:c>
      <x:c r="I909" t="n">
        <x:v>70</x:v>
      </x:c>
      <x:c r="J909" t="n">
        <x:v>0</x:v>
      </x:c>
    </x:row>
    <x:row r="910" ht="18" customHeight="1">
      <x:c r="A910" t="str">
        <x:v>64-854-8664</x:v>
      </x:c>
      <x:c r="B910" t="str">
        <x:v>Peanut Oil</x:v>
      </x:c>
      <x:c r="C910" t="str">
        <x:v>Pixoboo</x:v>
      </x:c>
      <x:c r="D910" t="str">
        <x:v>Oils &amp; Fats</x:v>
      </x:c>
      <x:c r="E910" t="str">
        <x:v>Discontinued</x:v>
      </x:c>
      <x:c r="F910" t="n">
        <x:v>79</x:v>
      </x:c>
      <x:c r="G910" t="n">
        <x:v>3</x:v>
      </x:c>
      <x:c r="H910" s="22" t="n">
        <x:v>316</x:v>
      </x:c>
      <x:c r="I910" t="n">
        <x:v>36</x:v>
      </x:c>
      <x:c r="J910" t="n">
        <x:v>0</x:v>
      </x:c>
    </x:row>
    <x:row r="911" ht="18" customHeight="1">
      <x:c r="A911" t="str">
        <x:v>66-627-9752</x:v>
      </x:c>
      <x:c r="B911" t="str">
        <x:v>Trout</x:v>
      </x:c>
      <x:c r="C911" t="str">
        <x:v>Jabbertype</x:v>
      </x:c>
      <x:c r="D911" t="str">
        <x:v>Seafood</x:v>
      </x:c>
      <x:c r="E911" t="str">
        <x:v>Active</x:v>
      </x:c>
      <x:c r="F911" t="n">
        <x:v>49</x:v>
      </x:c>
      <x:c r="G911" t="n">
        <x:v>73</x:v>
      </x:c>
      <x:c r="H911" s="22" t="n">
        <x:v>588</x:v>
      </x:c>
      <x:c r="I911" t="n">
        <x:v>48</x:v>
      </x:c>
      <x:c r="J911" t="n">
        <x:v>48</x:v>
      </x:c>
    </x:row>
    <x:row r="912" ht="18" customHeight="1">
      <x:c r="A912" t="str">
        <x:v>62-795-7801</x:v>
      </x:c>
      <x:c r="B912" t="str">
        <x:v>Palm Oil</x:v>
      </x:c>
      <x:c r="C912" t="str">
        <x:v>Buzzshare</x:v>
      </x:c>
      <x:c r="D912" t="str">
        <x:v>Oils &amp; Fats</x:v>
      </x:c>
      <x:c r="E912" t="str">
        <x:v>Backordered</x:v>
      </x:c>
      <x:c r="F912" t="n">
        <x:v>35</x:v>
      </x:c>
      <x:c r="G912" t="n">
        <x:v>41</x:v>
      </x:c>
      <x:c r="H912" s="22" t="n">
        <x:v>63</x:v>
      </x:c>
      <x:c r="I912" t="n">
        <x:v>84</x:v>
      </x:c>
      <x:c r="J912" t="n">
        <x:v>84</x:v>
      </x:c>
    </x:row>
    <x:row r="913" ht="18" customHeight="1">
      <x:c r="A913" t="str">
        <x:v>40-683-0283</x:v>
      </x:c>
      <x:c r="B913" t="str">
        <x:v>White Sugar</x:v>
      </x:c>
      <x:c r="C913" t="str">
        <x:v>Topicshots</x:v>
      </x:c>
      <x:c r="D913" t="str">
        <x:v>Grains &amp; Pulses</x:v>
      </x:c>
      <x:c r="E913" t="str">
        <x:v>Active</x:v>
      </x:c>
      <x:c r="F913" t="n">
        <x:v>27</x:v>
      </x:c>
      <x:c r="G913" t="n">
        <x:v>64</x:v>
      </x:c>
      <x:c r="H913" s="22" t="n">
        <x:v>54</x:v>
      </x:c>
      <x:c r="I913" t="n">
        <x:v>78</x:v>
      </x:c>
      <x:c r="J913" t="n">
        <x:v>78</x:v>
      </x:c>
    </x:row>
    <x:row r="914" ht="18" customHeight="1">
      <x:c r="A914" t="str">
        <x:v>87-423-8486</x:v>
      </x:c>
      <x:c r="B914" t="str">
        <x:v>Powdered Sugar</x:v>
      </x:c>
      <x:c r="C914" t="str">
        <x:v>Mybuzz</x:v>
      </x:c>
      <x:c r="D914" t="str">
        <x:v>Grains &amp; Pulses</x:v>
      </x:c>
      <x:c r="E914" t="str">
        <x:v>Discontinued</x:v>
      </x:c>
      <x:c r="F914" t="n">
        <x:v>63</x:v>
      </x:c>
      <x:c r="G914" t="n">
        <x:v>4</x:v>
      </x:c>
      <x:c r="H914" s="22" t="n">
        <x:v>157.5</x:v>
      </x:c>
      <x:c r="I914" t="n">
        <x:v>46</x:v>
      </x:c>
      <x:c r="J914" t="n">
        <x:v>0</x:v>
      </x:c>
    </x:row>
    <x:row r="915" ht="18" customHeight="1">
      <x:c r="A915" t="str">
        <x:v>16-499-5059</x:v>
      </x:c>
      <x:c r="B915" t="str">
        <x:v>Pear</x:v>
      </x:c>
      <x:c r="C915" t="str">
        <x:v>Centizu</x:v>
      </x:c>
      <x:c r="D915" t="str">
        <x:v>Fruits &amp; Vegetables</x:v>
      </x:c>
      <x:c r="E915" t="str">
        <x:v>Discontinued</x:v>
      </x:c>
      <x:c r="F915" t="n">
        <x:v>77</x:v>
      </x:c>
      <x:c r="G915" t="n">
        <x:v>20</x:v>
      </x:c>
      <x:c r="H915" s="22" t="n">
        <x:v>346.5</x:v>
      </x:c>
      <x:c r="I915" t="n">
        <x:v>5</x:v>
      </x:c>
      <x:c r="J915" t="n">
        <x:v>0</x:v>
      </x:c>
    </x:row>
    <x:row r="916" ht="18" customHeight="1">
      <x:c r="A916" t="str">
        <x:v>05-334-2923</x:v>
      </x:c>
      <x:c r="B916" t="str">
        <x:v>Bread Flour</x:v>
      </x:c>
      <x:c r="C916" t="str">
        <x:v>Browsezoom</x:v>
      </x:c>
      <x:c r="D916" t="str">
        <x:v>Grains &amp; Pulses</x:v>
      </x:c>
      <x:c r="E916" t="str">
        <x:v>Discontinued</x:v>
      </x:c>
      <x:c r="F916" t="n">
        <x:v>14</x:v>
      </x:c>
      <x:c r="G916" t="n">
        <x:v>74</x:v>
      </x:c>
      <x:c r="H916" s="22" t="n">
        <x:v>21</x:v>
      </x:c>
      <x:c r="I916" t="n">
        <x:v>71</x:v>
      </x:c>
      <x:c r="J916" t="n">
        <x:v>0</x:v>
      </x:c>
    </x:row>
    <x:row r="917" ht="18" customHeight="1">
      <x:c r="A917" t="str">
        <x:v>74-845-3299</x:v>
      </x:c>
      <x:c r="B917" t="str">
        <x:v>Green Tea</x:v>
      </x:c>
      <x:c r="C917" t="str">
        <x:v>Oyoyo</x:v>
      </x:c>
      <x:c r="D917" t="str">
        <x:v>Beverages</x:v>
      </x:c>
      <x:c r="E917" t="str">
        <x:v>Active</x:v>
      </x:c>
      <x:c r="F917" t="n">
        <x:v>63</x:v>
      </x:c>
      <x:c r="G917" t="n">
        <x:v>92</x:v>
      </x:c>
      <x:c r="H917" s="22" t="n">
        <x:v>504</x:v>
      </x:c>
      <x:c r="I917" t="n">
        <x:v>26</x:v>
      </x:c>
      <x:c r="J917" t="n">
        <x:v>29</x:v>
      </x:c>
    </x:row>
    <x:row r="918" ht="18" customHeight="1">
      <x:c r="A918" t="str">
        <x:v>10-249-7928</x:v>
      </x:c>
      <x:c r="B918" t="str">
        <x:v>Black Rice</x:v>
      </x:c>
      <x:c r="C918" t="str">
        <x:v>Voomm</x:v>
      </x:c>
      <x:c r="D918" t="str">
        <x:v>Grains &amp; Pulses</x:v>
      </x:c>
      <x:c r="E918" t="str">
        <x:v>Backordered</x:v>
      </x:c>
      <x:c r="F918" t="n">
        <x:v>85</x:v>
      </x:c>
      <x:c r="G918" t="n">
        <x:v>4</x:v>
      </x:c>
      <x:c r="H918" s="22" t="n">
        <x:v>552.5</x:v>
      </x:c>
      <x:c r="I918" t="n">
        <x:v>75</x:v>
      </x:c>
      <x:c r="J918" t="n">
        <x:v>0</x:v>
      </x:c>
    </x:row>
    <x:row r="919" ht="18" customHeight="1">
      <x:c r="A919" t="str">
        <x:v>08-725-8156</x:v>
      </x:c>
      <x:c r="B919" t="str">
        <x:v>Tilapia</x:v>
      </x:c>
      <x:c r="C919" t="str">
        <x:v>Flipopia</x:v>
      </x:c>
      <x:c r="D919" t="str">
        <x:v>Seafood</x:v>
      </x:c>
      <x:c r="E919" t="str">
        <x:v>Active</x:v>
      </x:c>
      <x:c r="F919" t="n">
        <x:v>59</x:v>
      </x:c>
      <x:c r="G919" t="n">
        <x:v>59</x:v>
      </x:c>
      <x:c r="H919" s="22" t="n">
        <x:v>413</x:v>
      </x:c>
      <x:c r="I919" t="n">
        <x:v>10</x:v>
      </x:c>
      <x:c r="J919" t="n">
        <x:v>0</x:v>
      </x:c>
    </x:row>
    <x:row r="920" ht="18" customHeight="1">
      <x:c r="A920" t="str">
        <x:v>41-240-8856</x:v>
      </x:c>
      <x:c r="B920" t="str">
        <x:v>Haddock</x:v>
      </x:c>
      <x:c r="C920" t="str">
        <x:v>Snaptags</x:v>
      </x:c>
      <x:c r="D920" t="str">
        <x:v>Seafood</x:v>
      </x:c>
      <x:c r="E920" t="str">
        <x:v>Discontinued</x:v>
      </x:c>
      <x:c r="F920" t="n">
        <x:v>79</x:v>
      </x:c>
      <x:c r="G920" t="n">
        <x:v>53</x:v>
      </x:c>
      <x:c r="H920" s="22" t="n">
        <x:v>711</x:v>
      </x:c>
      <x:c r="I920" t="n">
        <x:v>12</x:v>
      </x:c>
      <x:c r="J920" t="n">
        <x:v>0</x:v>
      </x:c>
    </x:row>
    <x:row r="921" ht="18" customHeight="1">
      <x:c r="A921" t="str">
        <x:v>35-257-9312</x:v>
      </x:c>
      <x:c r="B921" t="str">
        <x:v>Parmesan Cheese</x:v>
      </x:c>
      <x:c r="C921" t="str">
        <x:v>Photospace</x:v>
      </x:c>
      <x:c r="D921" t="str">
        <x:v>Dairy</x:v>
      </x:c>
      <x:c r="E921" t="str">
        <x:v>Backordered</x:v>
      </x:c>
      <x:c r="F921" t="n">
        <x:v>80</x:v>
      </x:c>
      <x:c r="G921" t="n">
        <x:v>100</x:v>
      </x:c>
      <x:c r="H921" s="22" t="n">
        <x:v>960</x:v>
      </x:c>
      <x:c r="I921" t="n">
        <x:v>48</x:v>
      </x:c>
      <x:c r="J921" t="n">
        <x:v>48</x:v>
      </x:c>
    </x:row>
    <x:row r="922" ht="18" customHeight="1">
      <x:c r="A922" t="str">
        <x:v>13-980-8804</x:v>
      </x:c>
      <x:c r="B922" t="str">
        <x:v>Sweet Potato</x:v>
      </x:c>
      <x:c r="C922" t="str">
        <x:v>Photospace</x:v>
      </x:c>
      <x:c r="D922" t="str">
        <x:v>Fruits &amp; Vegetables</x:v>
      </x:c>
      <x:c r="E922" t="str">
        <x:v>Backordered</x:v>
      </x:c>
      <x:c r="F922" t="n">
        <x:v>100</x:v>
      </x:c>
      <x:c r="G922" t="n">
        <x:v>3</x:v>
      </x:c>
      <x:c r="H922" s="22" t="n">
        <x:v>200</x:v>
      </x:c>
      <x:c r="I922" t="n">
        <x:v>32</x:v>
      </x:c>
      <x:c r="J922" t="n">
        <x:v>0</x:v>
      </x:c>
    </x:row>
    <x:row r="923" ht="18" customHeight="1">
      <x:c r="A923" t="str">
        <x:v>68-977-6854</x:v>
      </x:c>
      <x:c r="B923" t="str">
        <x:v>Apricot</x:v>
      </x:c>
      <x:c r="C923" t="str">
        <x:v>Blognation</x:v>
      </x:c>
      <x:c r="D923" t="str">
        <x:v>Fruits &amp; Vegetables</x:v>
      </x:c>
      <x:c r="E923" t="str">
        <x:v>Backordered</x:v>
      </x:c>
      <x:c r="F923" t="n">
        <x:v>90</x:v>
      </x:c>
      <x:c r="G923" t="n">
        <x:v>30</x:v>
      </x:c>
      <x:c r="H923" s="22" t="n">
        <x:v>450</x:v>
      </x:c>
      <x:c r="I923" t="n">
        <x:v>42</x:v>
      </x:c>
      <x:c r="J923" t="n">
        <x:v>0</x:v>
      </x:c>
    </x:row>
    <x:row r="924" ht="18" customHeight="1">
      <x:c r="A924" t="str">
        <x:v>90-773-9557</x:v>
      </x:c>
      <x:c r="B924" t="str">
        <x:v>Butter</x:v>
      </x:c>
      <x:c r="C924" t="str">
        <x:v>Npath</x:v>
      </x:c>
      <x:c r="D924" t="str">
        <x:v>Dairy</x:v>
      </x:c>
      <x:c r="E924" t="str">
        <x:v>Active</x:v>
      </x:c>
      <x:c r="F924" t="n">
        <x:v>85</x:v>
      </x:c>
      <x:c r="G924" t="n">
        <x:v>28</x:v>
      </x:c>
      <x:c r="H924" s="22" t="n">
        <x:v>255</x:v>
      </x:c>
      <x:c r="I924" t="n">
        <x:v>21</x:v>
      </x:c>
      <x:c r="J924" t="n">
        <x:v>0</x:v>
      </x:c>
    </x:row>
    <x:row r="925" ht="18" customHeight="1">
      <x:c r="A925" t="str">
        <x:v>89-328-9019</x:v>
      </x:c>
      <x:c r="B925" t="str">
        <x:v>Bread Flour</x:v>
      </x:c>
      <x:c r="C925" t="str">
        <x:v>Jazzy</x:v>
      </x:c>
      <x:c r="D925" t="str">
        <x:v>Grains &amp; Pulses</x:v>
      </x:c>
      <x:c r="E925" t="str">
        <x:v>Active</x:v>
      </x:c>
      <x:c r="F925" t="n">
        <x:v>63</x:v>
      </x:c>
      <x:c r="G925" t="n">
        <x:v>43</x:v>
      </x:c>
      <x:c r="H925" s="22" t="n">
        <x:v>94.5</x:v>
      </x:c>
      <x:c r="I925" t="n">
        <x:v>8</x:v>
      </x:c>
      <x:c r="J925" t="n">
        <x:v>0</x:v>
      </x:c>
    </x:row>
    <x:row r="926" ht="18" customHeight="1">
      <x:c r="A926" t="str">
        <x:v>59-075-2457</x:v>
      </x:c>
      <x:c r="B926" t="str">
        <x:v>Egg (Goose)</x:v>
      </x:c>
      <x:c r="C926" t="str">
        <x:v>Dynava</x:v>
      </x:c>
      <x:c r="D926" t="str">
        <x:v>Dairy</x:v>
      </x:c>
      <x:c r="E926" t="str">
        <x:v>Discontinued</x:v>
      </x:c>
      <x:c r="F926" t="n">
        <x:v>97</x:v>
      </x:c>
      <x:c r="G926" t="n">
        <x:v>26</x:v>
      </x:c>
      <x:c r="H926" s="22" t="n">
        <x:v>242.5</x:v>
      </x:c>
      <x:c r="I926" t="n">
        <x:v>15</x:v>
      </x:c>
      <x:c r="J926" t="n">
        <x:v>0</x:v>
      </x:c>
    </x:row>
    <x:row r="927" ht="18" customHeight="1">
      <x:c r="A927" t="str">
        <x:v>31-627-6025</x:v>
      </x:c>
      <x:c r="B927" t="str">
        <x:v>White Bread</x:v>
      </x:c>
      <x:c r="C927" t="str">
        <x:v>Ozu</x:v>
      </x:c>
      <x:c r="D927" t="str">
        <x:v>Bakery</x:v>
      </x:c>
      <x:c r="E927" t="str">
        <x:v>Backordered</x:v>
      </x:c>
      <x:c r="F927" t="n">
        <x:v>56</x:v>
      </x:c>
      <x:c r="G927" t="n">
        <x:v>62</x:v>
      </x:c>
      <x:c r="H927" s="22" t="n">
        <x:v>140</x:v>
      </x:c>
      <x:c r="I927" t="n">
        <x:v>64</x:v>
      </x:c>
      <x:c r="J927" t="n">
        <x:v>64</x:v>
      </x:c>
    </x:row>
    <x:row r="928" ht="18" customHeight="1">
      <x:c r="A928" t="str">
        <x:v>28-824-9017</x:v>
      </x:c>
      <x:c r="B928" t="str">
        <x:v>Trout</x:v>
      </x:c>
      <x:c r="C928" t="str">
        <x:v>Flipbug</x:v>
      </x:c>
      <x:c r="D928" t="str">
        <x:v>Seafood</x:v>
      </x:c>
      <x:c r="E928" t="str">
        <x:v>Discontinued</x:v>
      </x:c>
      <x:c r="F928" t="n">
        <x:v>19</x:v>
      </x:c>
      <x:c r="G928" t="n">
        <x:v>94</x:v>
      </x:c>
      <x:c r="H928" s="22" t="n">
        <x:v>218.5</x:v>
      </x:c>
      <x:c r="I928" t="n">
        <x:v>17</x:v>
      </x:c>
      <x:c r="J928" t="n">
        <x:v>0</x:v>
      </x:c>
    </x:row>
    <x:row r="929" ht="18" customHeight="1">
      <x:c r="A929" t="str">
        <x:v>06-858-5680</x:v>
      </x:c>
      <x:c r="B929" t="str">
        <x:v>Sesame Oil</x:v>
      </x:c>
      <x:c r="C929" t="str">
        <x:v>Miboo</x:v>
      </x:c>
      <x:c r="D929" t="str">
        <x:v>Oils &amp; Fats</x:v>
      </x:c>
      <x:c r="E929" t="str">
        <x:v>Discontinued</x:v>
      </x:c>
      <x:c r="F929" t="n">
        <x:v>15</x:v>
      </x:c>
      <x:c r="G929" t="n">
        <x:v>34</x:v>
      </x:c>
      <x:c r="H929" s="22" t="n">
        <x:v>97.5</x:v>
      </x:c>
      <x:c r="I929" t="n">
        <x:v>57</x:v>
      </x:c>
      <x:c r="J929" t="n">
        <x:v>0</x:v>
      </x:c>
    </x:row>
    <x:row r="930" ht="18" customHeight="1">
      <x:c r="A930" t="str">
        <x:v>38-732-7667</x:v>
      </x:c>
      <x:c r="B930" t="str">
        <x:v>Pineapple</x:v>
      </x:c>
      <x:c r="C930" t="str">
        <x:v>Photojam</x:v>
      </x:c>
      <x:c r="D930" t="str">
        <x:v>Fruits &amp; Vegetables</x:v>
      </x:c>
      <x:c r="E930" t="str">
        <x:v>Backordered</x:v>
      </x:c>
      <x:c r="F930" t="n">
        <x:v>18</x:v>
      </x:c>
      <x:c r="G930" t="n">
        <x:v>52</x:v>
      </x:c>
      <x:c r="H930" s="22" t="n">
        <x:v>63</x:v>
      </x:c>
      <x:c r="I930" t="n">
        <x:v>22</x:v>
      </x:c>
      <x:c r="J930" t="n">
        <x:v>34</x:v>
      </x:c>
    </x:row>
    <x:row r="931" ht="18" customHeight="1">
      <x:c r="A931" t="str">
        <x:v>85-237-3505</x:v>
      </x:c>
      <x:c r="B931" t="str">
        <x:v>Green Tea</x:v>
      </x:c>
      <x:c r="C931" t="str">
        <x:v>Thoughtsphere</x:v>
      </x:c>
      <x:c r="D931" t="str">
        <x:v>Beverages</x:v>
      </x:c>
      <x:c r="E931" t="str">
        <x:v>Discontinued</x:v>
      </x:c>
      <x:c r="F931" t="n">
        <x:v>88</x:v>
      </x:c>
      <x:c r="G931" t="n">
        <x:v>50</x:v>
      </x:c>
      <x:c r="H931" s="22" t="n">
        <x:v>704</x:v>
      </x:c>
      <x:c r="I931" t="n">
        <x:v>88</x:v>
      </x:c>
      <x:c r="J931" t="n">
        <x:v>0</x:v>
      </x:c>
    </x:row>
    <x:row r="932" ht="18" customHeight="1">
      <x:c r="A932" t="str">
        <x:v>73-117-6105</x:v>
      </x:c>
      <x:c r="B932" t="str">
        <x:v>Brown Rice</x:v>
      </x:c>
      <x:c r="C932" t="str">
        <x:v>Skipfire</x:v>
      </x:c>
      <x:c r="D932" t="str">
        <x:v>Grains &amp; Pulses</x:v>
      </x:c>
      <x:c r="E932" t="str">
        <x:v>Discontinued</x:v>
      </x:c>
      <x:c r="F932" t="n">
        <x:v>44</x:v>
      </x:c>
      <x:c r="G932" t="n">
        <x:v>48</x:v>
      </x:c>
      <x:c r="H932" s="22" t="n">
        <x:v>110</x:v>
      </x:c>
      <x:c r="I932" t="n">
        <x:v>77</x:v>
      </x:c>
      <x:c r="J932" t="n">
        <x:v>0</x:v>
      </x:c>
    </x:row>
    <x:row r="933" ht="18" customHeight="1">
      <x:c r="A933" t="str">
        <x:v>46-436-5351</x:v>
      </x:c>
      <x:c r="B933" t="str">
        <x:v>Green Tea</x:v>
      </x:c>
      <x:c r="C933" t="str">
        <x:v>Fiveclub</x:v>
      </x:c>
      <x:c r="D933" t="str">
        <x:v>Beverages</x:v>
      </x:c>
      <x:c r="E933" t="str">
        <x:v>Active</x:v>
      </x:c>
      <x:c r="F933" t="n">
        <x:v>80</x:v>
      </x:c>
      <x:c r="G933" t="n">
        <x:v>54</x:v>
      </x:c>
      <x:c r="H933" s="22" t="n">
        <x:v>680</x:v>
      </x:c>
      <x:c r="I933" t="n">
        <x:v>21</x:v>
      </x:c>
      <x:c r="J933" t="n">
        <x:v>0</x:v>
      </x:c>
    </x:row>
    <x:row r="934" ht="18" customHeight="1">
      <x:c r="A934" t="str">
        <x:v>56-303-5256</x:v>
      </x:c>
      <x:c r="B934" t="str">
        <x:v>Wild Rice</x:v>
      </x:c>
      <x:c r="C934" t="str">
        <x:v>Babbleopia</x:v>
      </x:c>
      <x:c r="D934" t="str">
        <x:v>Grains &amp; Pulses</x:v>
      </x:c>
      <x:c r="E934" t="str">
        <x:v>Active</x:v>
      </x:c>
      <x:c r="F934" t="n">
        <x:v>58</x:v>
      </x:c>
      <x:c r="G934" t="n">
        <x:v>24</x:v>
      </x:c>
      <x:c r="H934" s="22" t="n">
        <x:v>580</x:v>
      </x:c>
      <x:c r="I934" t="n">
        <x:v>25</x:v>
      </x:c>
      <x:c r="J934" t="n">
        <x:v>0</x:v>
      </x:c>
    </x:row>
    <x:row r="935" ht="18" customHeight="1">
      <x:c r="A935" t="str">
        <x:v>57-394-1587</x:v>
      </x:c>
      <x:c r="B935" t="str">
        <x:v>Bread Flour</x:v>
      </x:c>
      <x:c r="C935" t="str">
        <x:v>Roomm</x:v>
      </x:c>
      <x:c r="D935" t="str">
        <x:v>Grains &amp; Pulses</x:v>
      </x:c>
      <x:c r="E935" t="str">
        <x:v>Discontinued</x:v>
      </x:c>
      <x:c r="F935" t="n">
        <x:v>57</x:v>
      </x:c>
      <x:c r="G935" t="n">
        <x:v>63</x:v>
      </x:c>
      <x:c r="H935" s="22" t="n">
        <x:v>85.5</x:v>
      </x:c>
      <x:c r="I935" t="n">
        <x:v>41</x:v>
      </x:c>
      <x:c r="J935" t="n">
        <x:v>0</x:v>
      </x:c>
    </x:row>
    <x:row r="936" ht="18" customHeight="1">
      <x:c r="A936" t="str">
        <x:v>51-934-9117</x:v>
      </x:c>
      <x:c r="B936" t="str">
        <x:v>Sardines</x:v>
      </x:c>
      <x:c r="C936" t="str">
        <x:v>Linklinks</x:v>
      </x:c>
      <x:c r="D936" t="str">
        <x:v>Seafood</x:v>
      </x:c>
      <x:c r="E936" t="str">
        <x:v>Active</x:v>
      </x:c>
      <x:c r="F936" t="n">
        <x:v>30</x:v>
      </x:c>
      <x:c r="G936" t="n">
        <x:v>55</x:v>
      </x:c>
      <x:c r="H936" s="22" t="n">
        <x:v>180</x:v>
      </x:c>
      <x:c r="I936" t="n">
        <x:v>4</x:v>
      </x:c>
      <x:c r="J936" t="n">
        <x:v>25</x:v>
      </x:c>
    </x:row>
    <x:row r="937" ht="18" customHeight="1">
      <x:c r="A937" t="str">
        <x:v>77-377-1659</x:v>
      </x:c>
      <x:c r="B937" t="str">
        <x:v>Almond Flour</x:v>
      </x:c>
      <x:c r="C937" t="str">
        <x:v>Thoughtblab</x:v>
      </x:c>
      <x:c r="D937" t="str">
        <x:v>Grains &amp; Pulses</x:v>
      </x:c>
      <x:c r="E937" t="str">
        <x:v>Active</x:v>
      </x:c>
      <x:c r="F937" t="n">
        <x:v>74</x:v>
      </x:c>
      <x:c r="G937" t="n">
        <x:v>22</x:v>
      </x:c>
      <x:c r="H937" s="22" t="n">
        <x:v>703</x:v>
      </x:c>
      <x:c r="I937" t="n">
        <x:v>91</x:v>
      </x:c>
      <x:c r="J937" t="n">
        <x:v>0</x:v>
      </x:c>
    </x:row>
    <x:row r="938" ht="18" customHeight="1">
      <x:c r="A938" t="str">
        <x:v>27-262-2437</x:v>
      </x:c>
      <x:c r="B938" t="str">
        <x:v>Swiss Cheese</x:v>
      </x:c>
      <x:c r="C938" t="str">
        <x:v>Skidoo</x:v>
      </x:c>
      <x:c r="D938" t="str">
        <x:v>Dairy</x:v>
      </x:c>
      <x:c r="E938" t="str">
        <x:v>Active</x:v>
      </x:c>
      <x:c r="F938" t="n">
        <x:v>80</x:v>
      </x:c>
      <x:c r="G938" t="n">
        <x:v>9</x:v>
      </x:c>
      <x:c r="H938" s="22" t="n">
        <x:v>648</x:v>
      </x:c>
      <x:c r="I938" t="n">
        <x:v>29</x:v>
      </x:c>
      <x:c r="J938" t="n">
        <x:v>0</x:v>
      </x:c>
    </x:row>
    <x:row r="939" ht="18" customHeight="1">
      <x:c r="A939" t="str">
        <x:v>71-085-4290</x:v>
      </x:c>
      <x:c r="B939" t="str">
        <x:v>Cucumber</x:v>
      </x:c>
      <x:c r="C939" t="str">
        <x:v>Eire</x:v>
      </x:c>
      <x:c r="D939" t="str">
        <x:v>Fruits &amp; Vegetables</x:v>
      </x:c>
      <x:c r="E939" t="str">
        <x:v>Active</x:v>
      </x:c>
      <x:c r="F939" t="n">
        <x:v>31</x:v>
      </x:c>
      <x:c r="G939" t="n">
        <x:v>98</x:v>
      </x:c>
      <x:c r="H939" s="22" t="n">
        <x:v>55.8</x:v>
      </x:c>
      <x:c r="I939" t="n">
        <x:v>72</x:v>
      </x:c>
      <x:c r="J939" t="n">
        <x:v>72</x:v>
      </x:c>
    </x:row>
    <x:row r="940" ht="18" customHeight="1">
      <x:c r="A940" t="str">
        <x:v>87-675-1506</x:v>
      </x:c>
      <x:c r="B940" t="str">
        <x:v>Strawberries</x:v>
      </x:c>
      <x:c r="C940" t="str">
        <x:v>Skalith</x:v>
      </x:c>
      <x:c r="D940" t="str">
        <x:v>Fruits &amp; Vegetables</x:v>
      </x:c>
      <x:c r="E940" t="str">
        <x:v>Discontinued</x:v>
      </x:c>
      <x:c r="F940" t="n">
        <x:v>31</x:v>
      </x:c>
      <x:c r="G940" t="n">
        <x:v>89</x:v>
      </x:c>
      <x:c r="H940" s="22" t="n">
        <x:v>182.9</x:v>
      </x:c>
      <x:c r="I940" t="n">
        <x:v>7</x:v>
      </x:c>
      <x:c r="J940" t="n">
        <x:v>0</x:v>
      </x:c>
    </x:row>
    <x:row r="941" ht="18" customHeight="1">
      <x:c r="A941" t="str">
        <x:v>77-224-2227</x:v>
      </x:c>
      <x:c r="B941" t="str">
        <x:v>Almond Flour</x:v>
      </x:c>
      <x:c r="C941" t="str">
        <x:v>Eimbee</x:v>
      </x:c>
      <x:c r="D941" t="str">
        <x:v>Grains &amp; Pulses</x:v>
      </x:c>
      <x:c r="E941" t="str">
        <x:v>Backordered</x:v>
      </x:c>
      <x:c r="F941" t="n">
        <x:v>75</x:v>
      </x:c>
      <x:c r="G941" t="n">
        <x:v>46</x:v>
      </x:c>
      <x:c r="H941" s="22" t="n">
        <x:v>712.5</x:v>
      </x:c>
      <x:c r="I941" t="n">
        <x:v>75</x:v>
      </x:c>
      <x:c r="J941" t="n">
        <x:v>0</x:v>
      </x:c>
    </x:row>
    <x:row r="942" ht="18" customHeight="1">
      <x:c r="A942" t="str">
        <x:v>94-658-4945</x:v>
      </x:c>
      <x:c r="B942" t="str">
        <x:v>Sweet Potato</x:v>
      </x:c>
      <x:c r="C942" t="str">
        <x:v>Skibox</x:v>
      </x:c>
      <x:c r="D942" t="str">
        <x:v>Fruits &amp; Vegetables</x:v>
      </x:c>
      <x:c r="E942" t="str">
        <x:v>Backordered</x:v>
      </x:c>
      <x:c r="F942" t="n">
        <x:v>65</x:v>
      </x:c>
      <x:c r="G942" t="n">
        <x:v>10</x:v>
      </x:c>
      <x:c r="H942" s="22" t="n">
        <x:v>130</x:v>
      </x:c>
      <x:c r="I942" t="n">
        <x:v>81</x:v>
      </x:c>
      <x:c r="J942" t="n">
        <x:v>0</x:v>
      </x:c>
    </x:row>
    <x:row r="943" ht="18" customHeight="1">
      <x:c r="A943" t="str">
        <x:v>15-562-3712</x:v>
      </x:c>
      <x:c r="B943" t="str">
        <x:v>Cauliflower</x:v>
      </x:c>
      <x:c r="C943" t="str">
        <x:v>Yakitri</x:v>
      </x:c>
      <x:c r="D943" t="str">
        <x:v>Fruits &amp; Vegetables</x:v>
      </x:c>
      <x:c r="E943" t="str">
        <x:v>Discontinued</x:v>
      </x:c>
      <x:c r="F943" t="n">
        <x:v>33</x:v>
      </x:c>
      <x:c r="G943" t="n">
        <x:v>89</x:v>
      </x:c>
      <x:c r="H943" s="22" t="n">
        <x:v>82.5</x:v>
      </x:c>
      <x:c r="I943" t="n">
        <x:v>15</x:v>
      </x:c>
      <x:c r="J943" t="n">
        <x:v>0</x:v>
      </x:c>
    </x:row>
    <x:row r="944" ht="18" customHeight="1">
      <x:c r="A944" t="str">
        <x:v>98-546-7398</x:v>
      </x:c>
      <x:c r="B944" t="str">
        <x:v>Yogurt</x:v>
      </x:c>
      <x:c r="C944" t="str">
        <x:v>Thoughtworks</x:v>
      </x:c>
      <x:c r="D944" t="str">
        <x:v>Dairy</x:v>
      </x:c>
      <x:c r="E944" t="str">
        <x:v>Backordered</x:v>
      </x:c>
      <x:c r="F944" t="n">
        <x:v>80</x:v>
      </x:c>
      <x:c r="G944" t="n">
        <x:v>69</x:v>
      </x:c>
      <x:c r="H944" s="22" t="n">
        <x:v>140</x:v>
      </x:c>
      <x:c r="I944" t="n">
        <x:v>71</x:v>
      </x:c>
      <x:c r="J944" t="n">
        <x:v>0</x:v>
      </x:c>
    </x:row>
    <x:row r="945" ht="18" customHeight="1">
      <x:c r="A945" t="str">
        <x:v>36-177-0573</x:v>
      </x:c>
      <x:c r="B945" t="str">
        <x:v>Egg (Turkey)</x:v>
      </x:c>
      <x:c r="C945" t="str">
        <x:v>Oyondu</x:v>
      </x:c>
      <x:c r="D945" t="str">
        <x:v>Dairy</x:v>
      </x:c>
      <x:c r="E945" t="str">
        <x:v>Discontinued</x:v>
      </x:c>
      <x:c r="F945" t="n">
        <x:v>92</x:v>
      </x:c>
      <x:c r="G945" t="n">
        <x:v>1</x:v>
      </x:c>
      <x:c r="H945" s="22" t="n">
        <x:v>230</x:v>
      </x:c>
      <x:c r="I945" t="n">
        <x:v>23</x:v>
      </x:c>
      <x:c r="J945" t="n">
        <x:v>0</x:v>
      </x:c>
    </x:row>
    <x:row r="946" ht="18" customHeight="1">
      <x:c r="A946" t="str">
        <x:v>39-358-3340</x:v>
      </x:c>
      <x:c r="B946" t="str">
        <x:v>Basmati Rice</x:v>
      </x:c>
      <x:c r="C946" t="str">
        <x:v>Yamia</x:v>
      </x:c>
      <x:c r="D946" t="str">
        <x:v>Grains &amp; Pulses</x:v>
      </x:c>
      <x:c r="E946" t="str">
        <x:v>Discontinued</x:v>
      </x:c>
      <x:c r="F946" t="n">
        <x:v>71</x:v>
      </x:c>
      <x:c r="G946" t="n">
        <x:v>60</x:v>
      </x:c>
      <x:c r="H946" s="22" t="n">
        <x:v>319.5</x:v>
      </x:c>
      <x:c r="I946" t="n">
        <x:v>62</x:v>
      </x:c>
      <x:c r="J946" t="n">
        <x:v>0</x:v>
      </x:c>
    </x:row>
    <x:row r="947" ht="18" customHeight="1">
      <x:c r="A947" t="str">
        <x:v>11-733-1756</x:v>
      </x:c>
      <x:c r="B947" t="str">
        <x:v>Rice Flour</x:v>
      </x:c>
      <x:c r="C947" t="str">
        <x:v>Mynte</x:v>
      </x:c>
      <x:c r="D947" t="str">
        <x:v>Grains &amp; Pulses</x:v>
      </x:c>
      <x:c r="E947" t="str">
        <x:v>Backordered</x:v>
      </x:c>
      <x:c r="F947" t="n">
        <x:v>52</x:v>
      </x:c>
      <x:c r="G947" t="n">
        <x:v>81</x:v>
      </x:c>
      <x:c r="H947" s="22" t="n">
        <x:v>104</x:v>
      </x:c>
      <x:c r="I947" t="n">
        <x:v>53</x:v>
      </x:c>
      <x:c r="J947" t="n">
        <x:v>53</x:v>
      </x:c>
    </x:row>
    <x:row r="948" ht="18" customHeight="1">
      <x:c r="A948" t="str">
        <x:v>01-026-2772</x:v>
      </x:c>
      <x:c r="B948" t="str">
        <x:v>Blueberries</x:v>
      </x:c>
      <x:c r="C948" t="str">
        <x:v>Buzzbean</x:v>
      </x:c>
      <x:c r="D948" t="str">
        <x:v>Fruits &amp; Vegetables</x:v>
      </x:c>
      <x:c r="E948" t="str">
        <x:v>Discontinued</x:v>
      </x:c>
      <x:c r="F948" t="n">
        <x:v>40</x:v>
      </x:c>
      <x:c r="G948" t="n">
        <x:v>61</x:v>
      </x:c>
      <x:c r="H948" s="22" t="n">
        <x:v>400</x:v>
      </x:c>
      <x:c r="I948" t="n">
        <x:v>47</x:v>
      </x:c>
      <x:c r="J948" t="n">
        <x:v>0</x:v>
      </x:c>
    </x:row>
    <x:row r="949" ht="18" customHeight="1">
      <x:c r="A949" t="str">
        <x:v>84-198-7276</x:v>
      </x:c>
      <x:c r="B949" t="str">
        <x:v>Peanut Oil</x:v>
      </x:c>
      <x:c r="C949" t="str">
        <x:v>Eidel</x:v>
      </x:c>
      <x:c r="D949" t="str">
        <x:v>Oils &amp; Fats</x:v>
      </x:c>
      <x:c r="E949" t="str">
        <x:v>Active</x:v>
      </x:c>
      <x:c r="F949" t="n">
        <x:v>60</x:v>
      </x:c>
      <x:c r="G949" t="n">
        <x:v>88</x:v>
      </x:c>
      <x:c r="H949" s="22" t="n">
        <x:v>240</x:v>
      </x:c>
      <x:c r="I949" t="n">
        <x:v>65</x:v>
      </x:c>
      <x:c r="J949" t="n">
        <x:v>65</x:v>
      </x:c>
    </x:row>
    <x:row r="950" ht="18" customHeight="1">
      <x:c r="A950" t="str">
        <x:v>56-810-0550</x:v>
      </x:c>
      <x:c r="B950" t="str">
        <x:v>Mackerel</x:v>
      </x:c>
      <x:c r="C950" t="str">
        <x:v>Janyx</x:v>
      </x:c>
      <x:c r="D950" t="str">
        <x:v>Seafood</x:v>
      </x:c>
      <x:c r="E950" t="str">
        <x:v>Backordered</x:v>
      </x:c>
      <x:c r="F950" t="n">
        <x:v>71</x:v>
      </x:c>
      <x:c r="G950" t="n">
        <x:v>7</x:v>
      </x:c>
      <x:c r="H950" s="22" t="n">
        <x:v>532.5</x:v>
      </x:c>
      <x:c r="I950" t="n">
        <x:v>6</x:v>
      </x:c>
      <x:c r="J950" t="n">
        <x:v>0</x:v>
      </x:c>
    </x:row>
    <x:row r="951" ht="18" customHeight="1">
      <x:c r="A951" t="str">
        <x:v>40-751-8635</x:v>
      </x:c>
      <x:c r="B951" t="str">
        <x:v>Pineapple</x:v>
      </x:c>
      <x:c r="C951" t="str">
        <x:v>Yamia</x:v>
      </x:c>
      <x:c r="D951" t="str">
        <x:v>Fruits &amp; Vegetables</x:v>
      </x:c>
      <x:c r="E951" t="str">
        <x:v>Discontinued</x:v>
      </x:c>
      <x:c r="F951" t="n">
        <x:v>44</x:v>
      </x:c>
      <x:c r="G951" t="n">
        <x:v>80</x:v>
      </x:c>
      <x:c r="H951" s="22" t="n">
        <x:v>149.6</x:v>
      </x:c>
      <x:c r="I951" t="n">
        <x:v>84</x:v>
      </x:c>
      <x:c r="J951" t="n">
        <x:v>0</x:v>
      </x:c>
    </x:row>
    <x:row r="952" ht="18" customHeight="1">
      <x:c r="A952" t="str">
        <x:v>14-305-9690</x:v>
      </x:c>
      <x:c r="B952" t="str">
        <x:v>Sushi Rice</x:v>
      </x:c>
      <x:c r="C952" t="str">
        <x:v>Dabshots</x:v>
      </x:c>
      <x:c r="D952" t="str">
        <x:v>Grains &amp; Pulses</x:v>
      </x:c>
      <x:c r="E952" t="str">
        <x:v>Active</x:v>
      </x:c>
      <x:c r="F952" t="n">
        <x:v>19</x:v>
      </x:c>
      <x:c r="G952" t="n">
        <x:v>17</x:v>
      </x:c>
      <x:c r="H952" s="22" t="n">
        <x:v>81.7</x:v>
      </x:c>
      <x:c r="I952" t="n">
        <x:v>14</x:v>
      </x:c>
      <x:c r="J952" t="n">
        <x:v>0</x:v>
      </x:c>
    </x:row>
    <x:row r="953" ht="18" customHeight="1">
      <x:c r="A953" t="str">
        <x:v>83-727-0814</x:v>
      </x:c>
      <x:c r="B953" t="str">
        <x:v>Basmati Rice</x:v>
      </x:c>
      <x:c r="C953" t="str">
        <x:v>Yodo</x:v>
      </x:c>
      <x:c r="D953" t="str">
        <x:v>Grains &amp; Pulses</x:v>
      </x:c>
      <x:c r="E953" t="str">
        <x:v>Active</x:v>
      </x:c>
      <x:c r="F953" t="n">
        <x:v>11</x:v>
      </x:c>
      <x:c r="G953" t="n">
        <x:v>87</x:v>
      </x:c>
      <x:c r="H953" s="22" t="n">
        <x:v>49.5</x:v>
      </x:c>
      <x:c r="I953" t="n">
        <x:v>64</x:v>
      </x:c>
      <x:c r="J953" t="n">
        <x:v>76</x:v>
      </x:c>
    </x:row>
    <x:row r="954" ht="18" customHeight="1">
      <x:c r="A954" t="str">
        <x:v>71-015-9181</x:v>
      </x:c>
      <x:c r="B954" t="str">
        <x:v>Pomegranate</x:v>
      </x:c>
      <x:c r="C954" t="str">
        <x:v>Tagopia</x:v>
      </x:c>
      <x:c r="D954" t="str">
        <x:v>Fruits &amp; Vegetables</x:v>
      </x:c>
      <x:c r="E954" t="str">
        <x:v>Active</x:v>
      </x:c>
      <x:c r="F954" t="n">
        <x:v>22</x:v>
      </x:c>
      <x:c r="G954" t="n">
        <x:v>35</x:v>
      </x:c>
      <x:c r="H954" s="22" t="n">
        <x:v>132</x:v>
      </x:c>
      <x:c r="I954" t="n">
        <x:v>55</x:v>
      </x:c>
      <x:c r="J954" t="n">
        <x:v>55</x:v>
      </x:c>
    </x:row>
    <x:row r="955" ht="18" customHeight="1">
      <x:c r="A955" t="str">
        <x:v>51-572-5497</x:v>
      </x:c>
      <x:c r="B955" t="str">
        <x:v>Orange</x:v>
      </x:c>
      <x:c r="C955" t="str">
        <x:v>Kanoodle</x:v>
      </x:c>
      <x:c r="D955" t="str">
        <x:v>Fruits &amp; Vegetables</x:v>
      </x:c>
      <x:c r="E955" t="str">
        <x:v>Discontinued</x:v>
      </x:c>
      <x:c r="F955" t="n">
        <x:v>15</x:v>
      </x:c>
      <x:c r="G955" t="n">
        <x:v>44</x:v>
      </x:c>
      <x:c r="H955" s="22" t="n">
        <x:v>45</x:v>
      </x:c>
      <x:c r="I955" t="n">
        <x:v>88</x:v>
      </x:c>
      <x:c r="J955" t="n">
        <x:v>0</x:v>
      </x:c>
    </x:row>
    <x:row r="956" ht="18" customHeight="1">
      <x:c r="A956" t="str">
        <x:v>06-797-4963</x:v>
      </x:c>
      <x:c r="B956" t="str">
        <x:v>Pomegranate</x:v>
      </x:c>
      <x:c r="C956" t="str">
        <x:v>Innojam</x:v>
      </x:c>
      <x:c r="D956" t="str">
        <x:v>Fruits &amp; Vegetables</x:v>
      </x:c>
      <x:c r="E956" t="str">
        <x:v>Active</x:v>
      </x:c>
      <x:c r="F956" t="n">
        <x:v>52</x:v>
      </x:c>
      <x:c r="G956" t="n">
        <x:v>8</x:v>
      </x:c>
      <x:c r="H956" s="22" t="n">
        <x:v>312</x:v>
      </x:c>
      <x:c r="I956" t="n">
        <x:v>37</x:v>
      </x:c>
      <x:c r="J956" t="n">
        <x:v>0</x:v>
      </x:c>
    </x:row>
    <x:row r="957" ht="18" customHeight="1">
      <x:c r="A957" t="str">
        <x:v>42-141-5718</x:v>
      </x:c>
      <x:c r="B957" t="str">
        <x:v>Cheese</x:v>
      </x:c>
      <x:c r="C957" t="str">
        <x:v>Mydeo</x:v>
      </x:c>
      <x:c r="D957" t="str">
        <x:v>Dairy</x:v>
      </x:c>
      <x:c r="E957" t="str">
        <x:v>Backordered</x:v>
      </x:c>
      <x:c r="F957" t="n">
        <x:v>100</x:v>
      </x:c>
      <x:c r="G957" t="n">
        <x:v>31</x:v>
      </x:c>
      <x:c r="H957" s="22" t="n">
        <x:v>900</x:v>
      </x:c>
      <x:c r="I957" t="n">
        <x:v>43</x:v>
      </x:c>
      <x:c r="J957" t="n">
        <x:v>0</x:v>
      </x:c>
    </x:row>
    <x:row r="958" ht="18" customHeight="1">
      <x:c r="A958" t="str">
        <x:v>37-606-0510</x:v>
      </x:c>
      <x:c r="B958" t="str">
        <x:v>Milk</x:v>
      </x:c>
      <x:c r="C958" t="str">
        <x:v>Jabbercube</x:v>
      </x:c>
      <x:c r="D958" t="str">
        <x:v>Dairy</x:v>
      </x:c>
      <x:c r="E958" t="str">
        <x:v>Active</x:v>
      </x:c>
      <x:c r="F958" t="n">
        <x:v>18</x:v>
      </x:c>
      <x:c r="G958" t="n">
        <x:v>64</x:v>
      </x:c>
      <x:c r="H958" s="22" t="n">
        <x:v>18</x:v>
      </x:c>
      <x:c r="I958" t="n">
        <x:v>86</x:v>
      </x:c>
      <x:c r="J958" t="n">
        <x:v>86</x:v>
      </x:c>
    </x:row>
    <x:row r="959" ht="18" customHeight="1">
      <x:c r="A959" t="str">
        <x:v>44-480-9446</x:v>
      </x:c>
      <x:c r="B959" t="str">
        <x:v>Sunflower Oil</x:v>
      </x:c>
      <x:c r="C959" t="str">
        <x:v>Aibox</x:v>
      </x:c>
      <x:c r="D959" t="str">
        <x:v>Oils &amp; Fats</x:v>
      </x:c>
      <x:c r="E959" t="str">
        <x:v>Active</x:v>
      </x:c>
      <x:c r="F959" t="n">
        <x:v>39</x:v>
      </x:c>
      <x:c r="G959" t="n">
        <x:v>13</x:v>
      </x:c>
      <x:c r="H959" s="22" t="n">
        <x:v>97.5</x:v>
      </x:c>
      <x:c r="I959" t="n">
        <x:v>13</x:v>
      </x:c>
      <x:c r="J959" t="n">
        <x:v>0</x:v>
      </x:c>
    </x:row>
    <x:row r="960" ht="18" customHeight="1">
      <x:c r="A960" t="str">
        <x:v>78-237-0277</x:v>
      </x:c>
      <x:c r="B960" t="str">
        <x:v>Black Tea</x:v>
      </x:c>
      <x:c r="C960" t="str">
        <x:v>Brainbox</x:v>
      </x:c>
      <x:c r="D960" t="str">
        <x:v>Beverages</x:v>
      </x:c>
      <x:c r="E960" t="str">
        <x:v>Active</x:v>
      </x:c>
      <x:c r="F960" t="n">
        <x:v>46</x:v>
      </x:c>
      <x:c r="G960" t="n">
        <x:v>27</x:v>
      </x:c>
      <x:c r="H960" s="22" t="n">
        <x:v>230</x:v>
      </x:c>
      <x:c r="I960" t="n">
        <x:v>76</x:v>
      </x:c>
      <x:c r="J960" t="n">
        <x:v>0</x:v>
      </x:c>
    </x:row>
    <x:row r="961" ht="18" customHeight="1">
      <x:c r="A961" t="str">
        <x:v>87-997-0228</x:v>
      </x:c>
      <x:c r="B961" t="str">
        <x:v>Watermelon</x:v>
      </x:c>
      <x:c r="C961" t="str">
        <x:v>Topicblab</x:v>
      </x:c>
      <x:c r="D961" t="str">
        <x:v>Fruits &amp; Vegetables</x:v>
      </x:c>
      <x:c r="E961" t="str">
        <x:v>Discontinued</x:v>
      </x:c>
      <x:c r="F961" t="n">
        <x:v>71</x:v>
      </x:c>
      <x:c r="G961" t="n">
        <x:v>4</x:v>
      </x:c>
      <x:c r="H961" s="22" t="n">
        <x:v>213</x:v>
      </x:c>
      <x:c r="I961" t="n">
        <x:v>37</x:v>
      </x:c>
      <x:c r="J961" t="n">
        <x:v>0</x:v>
      </x:c>
    </x:row>
    <x:row r="962" ht="18" customHeight="1">
      <x:c r="A962" t="str">
        <x:v>42-674-3917</x:v>
      </x:c>
      <x:c r="B962" t="str">
        <x:v>Whole Wheat Flour</x:v>
      </x:c>
      <x:c r="C962" t="str">
        <x:v>Pixonyx</x:v>
      </x:c>
      <x:c r="D962" t="str">
        <x:v>Grains &amp; Pulses</x:v>
      </x:c>
      <x:c r="E962" t="str">
        <x:v>Backordered</x:v>
      </x:c>
      <x:c r="F962" t="n">
        <x:v>41</x:v>
      </x:c>
      <x:c r="G962" t="n">
        <x:v>76</x:v>
      </x:c>
      <x:c r="H962" s="22" t="n">
        <x:v>108.65</x:v>
      </x:c>
      <x:c r="I962" t="n">
        <x:v>47</x:v>
      </x:c>
      <x:c r="J962" t="n">
        <x:v>47</x:v>
      </x:c>
    </x:row>
    <x:row r="963" ht="18" customHeight="1">
      <x:c r="A963" t="str">
        <x:v>28-185-7303</x:v>
      </x:c>
      <x:c r="B963" t="str">
        <x:v>Robusta Coffee</x:v>
      </x:c>
      <x:c r="C963" t="str">
        <x:v>Yozio</x:v>
      </x:c>
      <x:c r="D963" t="str">
        <x:v>Beverages</x:v>
      </x:c>
      <x:c r="E963" t="str">
        <x:v>Active</x:v>
      </x:c>
      <x:c r="F963" t="n">
        <x:v>59</x:v>
      </x:c>
      <x:c r="G963" t="n">
        <x:v>31</x:v>
      </x:c>
      <x:c r="H963" s="22" t="n">
        <x:v>590</x:v>
      </x:c>
      <x:c r="I963" t="n">
        <x:v>3</x:v>
      </x:c>
      <x:c r="J963" t="n">
        <x:v>0</x:v>
      </x:c>
    </x:row>
    <x:row r="964" ht="18" customHeight="1">
      <x:c r="A964" t="str">
        <x:v>45-852-2446</x:v>
      </x:c>
      <x:c r="B964" t="str">
        <x:v>Salmon</x:v>
      </x:c>
      <x:c r="C964" t="str">
        <x:v>Fanoodle</x:v>
      </x:c>
      <x:c r="D964" t="str">
        <x:v>Seafood</x:v>
      </x:c>
      <x:c r="E964" t="str">
        <x:v>Active</x:v>
      </x:c>
      <x:c r="F964" t="n">
        <x:v>73</x:v>
      </x:c>
      <x:c r="G964" t="n">
        <x:v>12</x:v>
      </x:c>
      <x:c r="H964" s="22" t="n">
        <x:v>1095</x:v>
      </x:c>
      <x:c r="I964" t="n">
        <x:v>28</x:v>
      </x:c>
      <x:c r="J964" t="n">
        <x:v>0</x:v>
      </x:c>
    </x:row>
    <x:row r="965" ht="18" customHeight="1">
      <x:c r="A965" t="str">
        <x:v>56-831-6199</x:v>
      </x:c>
      <x:c r="B965" t="str">
        <x:v>Salmon</x:v>
      </x:c>
      <x:c r="C965" t="str">
        <x:v>Innojam</x:v>
      </x:c>
      <x:c r="D965" t="str">
        <x:v>Seafood</x:v>
      </x:c>
      <x:c r="E965" t="str">
        <x:v>Active</x:v>
      </x:c>
      <x:c r="F965" t="n">
        <x:v>49</x:v>
      </x:c>
      <x:c r="G965" t="n">
        <x:v>48</x:v>
      </x:c>
      <x:c r="H965" s="22" t="n">
        <x:v>735</x:v>
      </x:c>
      <x:c r="I965" t="n">
        <x:v>62</x:v>
      </x:c>
      <x:c r="J965" t="n">
        <x:v>0</x:v>
      </x:c>
    </x:row>
    <x:row r="966" ht="18" customHeight="1">
      <x:c r="A966" t="str">
        <x:v>82-538-4809</x:v>
      </x:c>
      <x:c r="B966" t="str">
        <x:v>Cabbage</x:v>
      </x:c>
      <x:c r="C966" t="str">
        <x:v>Twitternation</x:v>
      </x:c>
      <x:c r="D966" t="str">
        <x:v>Fruits &amp; Vegetables</x:v>
      </x:c>
      <x:c r="E966" t="str">
        <x:v>Backordered</x:v>
      </x:c>
      <x:c r="F966" t="n">
        <x:v>83</x:v>
      </x:c>
      <x:c r="G966" t="n">
        <x:v>61</x:v>
      </x:c>
      <x:c r="H966" s="22" t="n">
        <x:v>83</x:v>
      </x:c>
      <x:c r="I966" t="n">
        <x:v>4</x:v>
      </x:c>
      <x:c r="J966" t="n">
        <x:v>0</x:v>
      </x:c>
    </x:row>
    <x:row r="967" ht="18" customHeight="1">
      <x:c r="A967" t="str">
        <x:v>87-698-0944</x:v>
      </x:c>
      <x:c r="B967" t="str">
        <x:v>Banana</x:v>
      </x:c>
      <x:c r="C967" t="str">
        <x:v>Vinder</x:v>
      </x:c>
      <x:c r="D967" t="str">
        <x:v>Fruits &amp; Vegetables</x:v>
      </x:c>
      <x:c r="E967" t="str">
        <x:v>Active</x:v>
      </x:c>
      <x:c r="F967" t="n">
        <x:v>56</x:v>
      </x:c>
      <x:c r="G967" t="n">
        <x:v>12</x:v>
      </x:c>
      <x:c r="H967" s="22" t="n">
        <x:v>5512.08</x:v>
      </x:c>
      <x:c r="I967" t="n">
        <x:v>59</x:v>
      </x:c>
      <x:c r="J967" t="n">
        <x:v>0</x:v>
      </x:c>
    </x:row>
    <x:row r="968" ht="18" customHeight="1">
      <x:c r="A968" t="str">
        <x:v>30-964-2694</x:v>
      </x:c>
      <x:c r="B968" t="str">
        <x:v>Peas</x:v>
      </x:c>
      <x:c r="C968" t="str">
        <x:v>Edgeclub</x:v>
      </x:c>
      <x:c r="D968" t="str">
        <x:v>Fruits &amp; Vegetables</x:v>
      </x:c>
      <x:c r="E968" t="str">
        <x:v>Active</x:v>
      </x:c>
      <x:c r="F968" t="n">
        <x:v>48</x:v>
      </x:c>
      <x:c r="G968" t="n">
        <x:v>72</x:v>
      </x:c>
      <x:c r="H968" s="22" t="n">
        <x:v>144</x:v>
      </x:c>
      <x:c r="I968" t="n">
        <x:v>55</x:v>
      </x:c>
      <x:c r="J968" t="n">
        <x:v>55</x:v>
      </x:c>
    </x:row>
    <x:row r="969" ht="18" customHeight="1">
      <x:c r="A969" t="str">
        <x:v>09-335-7793</x:v>
      </x:c>
      <x:c r="B969" t="str">
        <x:v>Powdered Sugar</x:v>
      </x:c>
      <x:c r="C969" t="str">
        <x:v>Topicshots</x:v>
      </x:c>
      <x:c r="D969" t="str">
        <x:v>Grains &amp; Pulses</x:v>
      </x:c>
      <x:c r="E969" t="str">
        <x:v>Active</x:v>
      </x:c>
      <x:c r="F969" t="n">
        <x:v>66</x:v>
      </x:c>
      <x:c r="G969" t="n">
        <x:v>19</x:v>
      </x:c>
      <x:c r="H969" s="22" t="n">
        <x:v>158.4</x:v>
      </x:c>
      <x:c r="I969" t="n">
        <x:v>20</x:v>
      </x:c>
      <x:c r="J969" t="n">
        <x:v>0</x:v>
      </x:c>
    </x:row>
    <x:row r="970" ht="18" customHeight="1">
      <x:c r="A970" t="str">
        <x:v>99-033-5661</x:v>
      </x:c>
      <x:c r="B970" t="str">
        <x:v>Rice Flour</x:v>
      </x:c>
      <x:c r="C970" t="str">
        <x:v>Zava</x:v>
      </x:c>
      <x:c r="D970" t="str">
        <x:v>Grains &amp; Pulses</x:v>
      </x:c>
      <x:c r="E970" t="str">
        <x:v>Active</x:v>
      </x:c>
      <x:c r="F970" t="n">
        <x:v>42</x:v>
      </x:c>
      <x:c r="G970" t="n">
        <x:v>3</x:v>
      </x:c>
      <x:c r="H970" s="22" t="n">
        <x:v>84</x:v>
      </x:c>
      <x:c r="I970" t="n">
        <x:v>21</x:v>
      </x:c>
      <x:c r="J970" t="n">
        <x:v>0</x:v>
      </x:c>
    </x:row>
    <x:row r="971" ht="18" customHeight="1">
      <x:c r="A971" t="str">
        <x:v>90-128-7973</x:v>
      </x:c>
      <x:c r="B971" t="str">
        <x:v>Black Rice</x:v>
      </x:c>
      <x:c r="C971" t="str">
        <x:v>Shuffletag</x:v>
      </x:c>
      <x:c r="D971" t="str">
        <x:v>Grains &amp; Pulses</x:v>
      </x:c>
      <x:c r="E971" t="str">
        <x:v>Backordered</x:v>
      </x:c>
      <x:c r="F971" t="n">
        <x:v>49</x:v>
      </x:c>
      <x:c r="G971" t="n">
        <x:v>3</x:v>
      </x:c>
      <x:c r="H971" s="22" t="n">
        <x:v>306.25</x:v>
      </x:c>
      <x:c r="I971" t="n">
        <x:v>7</x:v>
      </x:c>
      <x:c r="J971" t="n">
        <x:v>0</x:v>
      </x:c>
    </x:row>
    <x:row r="972" ht="18" customHeight="1">
      <x:c r="A972" t="str">
        <x:v>52-797-6961</x:v>
      </x:c>
      <x:c r="B972" t="str">
        <x:v>Tilapia</x:v>
      </x:c>
      <x:c r="C972" t="str">
        <x:v>Plajo</x:v>
      </x:c>
      <x:c r="D972" t="str">
        <x:v>Seafood</x:v>
      </x:c>
      <x:c r="E972" t="str">
        <x:v>Discontinued</x:v>
      </x:c>
      <x:c r="F972" t="n">
        <x:v>46</x:v>
      </x:c>
      <x:c r="G972" t="n">
        <x:v>80</x:v>
      </x:c>
      <x:c r="H972" s="22" t="n">
        <x:v>322</x:v>
      </x:c>
      <x:c r="I972" t="n">
        <x:v>88</x:v>
      </x:c>
      <x:c r="J972" t="n">
        <x:v>0</x:v>
      </x:c>
    </x:row>
    <x:row r="973" ht="18" customHeight="1">
      <x:c r="A973" t="str">
        <x:v>39-232-5341</x:v>
      </x:c>
      <x:c r="B973" t="str">
        <x:v>Arborio Rice</x:v>
      </x:c>
      <x:c r="C973" t="str">
        <x:v>Feedmix</x:v>
      </x:c>
      <x:c r="D973" t="str">
        <x:v>Grains &amp; Pulses</x:v>
      </x:c>
      <x:c r="E973" t="str">
        <x:v>Discontinued</x:v>
      </x:c>
      <x:c r="F973" t="n">
        <x:v>20</x:v>
      </x:c>
      <x:c r="G973" t="n">
        <x:v>34</x:v>
      </x:c>
      <x:c r="H973" s="22" t="n">
        <x:v>90</x:v>
      </x:c>
      <x:c r="I973" t="n">
        <x:v>74</x:v>
      </x:c>
      <x:c r="J973" t="n">
        <x:v>0</x:v>
      </x:c>
    </x:row>
    <x:row r="974" ht="18" customHeight="1">
      <x:c r="A974" t="str">
        <x:v>46-931-6897</x:v>
      </x:c>
      <x:c r="B974" t="str">
        <x:v>Cream</x:v>
      </x:c>
      <x:c r="C974" t="str">
        <x:v>Meevee</x:v>
      </x:c>
      <x:c r="D974" t="str">
        <x:v>Dairy</x:v>
      </x:c>
      <x:c r="E974" t="str">
        <x:v>Discontinued</x:v>
      </x:c>
      <x:c r="F974" t="n">
        <x:v>29</x:v>
      </x:c>
      <x:c r="G974" t="n">
        <x:v>32</x:v>
      </x:c>
      <x:c r="H974" s="22" t="n">
        <x:v>72.5</x:v>
      </x:c>
      <x:c r="I974" t="n">
        <x:v>26</x:v>
      </x:c>
      <x:c r="J974" t="n">
        <x:v>0</x:v>
      </x:c>
    </x:row>
    <x:row r="975" ht="18" customHeight="1">
      <x:c r="A975" t="str">
        <x:v>56-937-8675</x:v>
      </x:c>
      <x:c r="B975" t="str">
        <x:v>Cream</x:v>
      </x:c>
      <x:c r="C975" t="str">
        <x:v>Trilith</x:v>
      </x:c>
      <x:c r="D975" t="str">
        <x:v>Dairy</x:v>
      </x:c>
      <x:c r="E975" t="str">
        <x:v>Discontinued</x:v>
      </x:c>
      <x:c r="F975" t="n">
        <x:v>62</x:v>
      </x:c>
      <x:c r="G975" t="n">
        <x:v>91</x:v>
      </x:c>
      <x:c r="H975" s="22" t="n">
        <x:v>155</x:v>
      </x:c>
      <x:c r="I975" t="n">
        <x:v>14</x:v>
      </x:c>
      <x:c r="J975" t="n">
        <x:v>0</x:v>
      </x:c>
    </x:row>
    <x:row r="976" ht="18" customHeight="1">
      <x:c r="A976" t="str">
        <x:v>54-830-6971</x:v>
      </x:c>
      <x:c r="B976" t="str">
        <x:v>Tilapia</x:v>
      </x:c>
      <x:c r="C976" t="str">
        <x:v>Dynava</x:v>
      </x:c>
      <x:c r="D976" t="str">
        <x:v>Seafood</x:v>
      </x:c>
      <x:c r="E976" t="str">
        <x:v>Backordered</x:v>
      </x:c>
      <x:c r="F976" t="n">
        <x:v>100</x:v>
      </x:c>
      <x:c r="G976" t="n">
        <x:v>61</x:v>
      </x:c>
      <x:c r="H976" s="22" t="n">
        <x:v>700</x:v>
      </x:c>
      <x:c r="I976" t="n">
        <x:v>21</x:v>
      </x:c>
      <x:c r="J976" t="n">
        <x:v>0</x:v>
      </x:c>
    </x:row>
    <x:row r="977" ht="18" customHeight="1">
      <x:c r="A977" t="str">
        <x:v>90-865-9150</x:v>
      </x:c>
      <x:c r="B977" t="str">
        <x:v>Powdered Sugar</x:v>
      </x:c>
      <x:c r="C977" t="str">
        <x:v>Kazu</x:v>
      </x:c>
      <x:c r="D977" t="str">
        <x:v>Grains &amp; Pulses</x:v>
      </x:c>
      <x:c r="E977" t="str">
        <x:v>Discontinued</x:v>
      </x:c>
      <x:c r="F977" t="n">
        <x:v>28</x:v>
      </x:c>
      <x:c r="G977" t="n">
        <x:v>24</x:v>
      </x:c>
      <x:c r="H977" s="22" t="n">
        <x:v>70</x:v>
      </x:c>
      <x:c r="I977" t="n">
        <x:v>97</x:v>
      </x:c>
      <x:c r="J977" t="n">
        <x:v>0</x:v>
      </x:c>
    </x:row>
    <x:row r="978" ht="18" customHeight="1">
      <x:c r="A978" t="str">
        <x:v>42-887-6557</x:v>
      </x:c>
      <x:c r="B978" t="str">
        <x:v>Long Grain Rice</x:v>
      </x:c>
      <x:c r="C978" t="str">
        <x:v>Geba</x:v>
      </x:c>
      <x:c r="D978" t="str">
        <x:v>Grains &amp; Pulses</x:v>
      </x:c>
      <x:c r="E978" t="str">
        <x:v>Active</x:v>
      </x:c>
      <x:c r="F978" t="n">
        <x:v>26</x:v>
      </x:c>
      <x:c r="G978" t="n">
        <x:v>82</x:v>
      </x:c>
      <x:c r="H978" s="22" t="n">
        <x:v>39</x:v>
      </x:c>
      <x:c r="I978" t="n">
        <x:v>19</x:v>
      </x:c>
      <x:c r="J978" t="n">
        <x:v>56</x:v>
      </x:c>
    </x:row>
    <x:row r="979" ht="18" customHeight="1">
      <x:c r="A979" t="str">
        <x:v>94-190-5193</x:v>
      </x:c>
      <x:c r="B979" t="str">
        <x:v>Carrot</x:v>
      </x:c>
      <x:c r="C979" t="str">
        <x:v>Quinu</x:v>
      </x:c>
      <x:c r="D979" t="str">
        <x:v>Fruits &amp; Vegetables</x:v>
      </x:c>
      <x:c r="E979" t="str">
        <x:v>Discontinued</x:v>
      </x:c>
      <x:c r="F979" t="n">
        <x:v>67</x:v>
      </x:c>
      <x:c r="G979" t="n">
        <x:v>68</x:v>
      </x:c>
      <x:c r="H979" s="22" t="n">
        <x:v>100.5</x:v>
      </x:c>
      <x:c r="I979" t="n">
        <x:v>50</x:v>
      </x:c>
      <x:c r="J979" t="n">
        <x:v>0</x:v>
      </x:c>
    </x:row>
    <x:row r="980" ht="18" customHeight="1">
      <x:c r="A980" t="str">
        <x:v>00-440-9568</x:v>
      </x:c>
      <x:c r="B980" t="str">
        <x:v>Blueberries</x:v>
      </x:c>
      <x:c r="C980" t="str">
        <x:v>Kamba</x:v>
      </x:c>
      <x:c r="D980" t="str">
        <x:v>Fruits &amp; Vegetables</x:v>
      </x:c>
      <x:c r="E980" t="str">
        <x:v>Active</x:v>
      </x:c>
      <x:c r="F980" t="n">
        <x:v>53</x:v>
      </x:c>
      <x:c r="G980" t="n">
        <x:v>98</x:v>
      </x:c>
      <x:c r="H980" s="22" t="n">
        <x:v>530</x:v>
      </x:c>
      <x:c r="I980" t="n">
        <x:v>25</x:v>
      </x:c>
      <x:c r="J980" t="n">
        <x:v>45</x:v>
      </x:c>
    </x:row>
    <x:row r="981" ht="18" customHeight="1">
      <x:c r="A981" t="str">
        <x:v>74-294-3760</x:v>
      </x:c>
      <x:c r="B981" t="str">
        <x:v>Peanut Oil</x:v>
      </x:c>
      <x:c r="C981" t="str">
        <x:v>Babblestorm</x:v>
      </x:c>
      <x:c r="D981" t="str">
        <x:v>Oils &amp; Fats</x:v>
      </x:c>
      <x:c r="E981" t="str">
        <x:v>Discontinued</x:v>
      </x:c>
      <x:c r="F981" t="n">
        <x:v>49</x:v>
      </x:c>
      <x:c r="G981" t="n">
        <x:v>17</x:v>
      </x:c>
      <x:c r="H981" s="22" t="n">
        <x:v>196</x:v>
      </x:c>
      <x:c r="I981" t="n">
        <x:v>54</x:v>
      </x:c>
      <x:c r="J981" t="n">
        <x:v>0</x:v>
      </x:c>
    </x:row>
    <x:row r="982" ht="18" customHeight="1">
      <x:c r="A982" t="str">
        <x:v>66-806-6051</x:v>
      </x:c>
      <x:c r="B982" t="str">
        <x:v>Yogurt</x:v>
      </x:c>
      <x:c r="C982" t="str">
        <x:v>Devpulse</x:v>
      </x:c>
      <x:c r="D982" t="str">
        <x:v>Dairy</x:v>
      </x:c>
      <x:c r="E982" t="str">
        <x:v>Backordered</x:v>
      </x:c>
      <x:c r="F982" t="n">
        <x:v>63</x:v>
      </x:c>
      <x:c r="G982" t="n">
        <x:v>12</x:v>
      </x:c>
      <x:c r="H982" s="22" t="n">
        <x:v>107.1</x:v>
      </x:c>
      <x:c r="I982" t="n">
        <x:v>82</x:v>
      </x:c>
      <x:c r="J982" t="n">
        <x:v>0</x:v>
      </x:c>
    </x:row>
    <x:row r="983" ht="18" customHeight="1">
      <x:c r="A983" t="str">
        <x:v>81-844-2979</x:v>
      </x:c>
      <x:c r="B983" t="str">
        <x:v>Broccoli</x:v>
      </x:c>
      <x:c r="C983" t="str">
        <x:v>Realblab</x:v>
      </x:c>
      <x:c r="D983" t="str">
        <x:v>Fruits &amp; Vegetables</x:v>
      </x:c>
      <x:c r="E983" t="str">
        <x:v>Discontinued</x:v>
      </x:c>
      <x:c r="F983" t="n">
        <x:v>73</x:v>
      </x:c>
      <x:c r="G983" t="n">
        <x:v>87</x:v>
      </x:c>
      <x:c r="H983" s="22" t="n">
        <x:v>292</x:v>
      </x:c>
      <x:c r="I983" t="n">
        <x:v>46</x:v>
      </x:c>
      <x:c r="J983" t="n">
        <x:v>0</x:v>
      </x:c>
    </x:row>
    <x:row r="984" ht="18" customHeight="1">
      <x:c r="A984" t="str">
        <x:v>80-072-8774</x:v>
      </x:c>
      <x:c r="B984" t="str">
        <x:v>Tuna</x:v>
      </x:c>
      <x:c r="C984" t="str">
        <x:v>Viva</x:v>
      </x:c>
      <x:c r="D984" t="str">
        <x:v>Seafood</x:v>
      </x:c>
      <x:c r="E984" t="str">
        <x:v>Discontinued</x:v>
      </x:c>
      <x:c r="F984" t="n">
        <x:v>89</x:v>
      </x:c>
      <x:c r="G984" t="n">
        <x:v>95</x:v>
      </x:c>
      <x:c r="H984" s="22" t="n">
        <x:v>1602</x:v>
      </x:c>
      <x:c r="I984" t="n">
        <x:v>41</x:v>
      </x:c>
      <x:c r="J984" t="n">
        <x:v>0</x:v>
      </x:c>
    </x:row>
    <x:row r="985" ht="18" customHeight="1">
      <x:c r="A985" t="str">
        <x:v>80-039-1261</x:v>
      </x:c>
      <x:c r="B985" t="str">
        <x:v>Strawberries</x:v>
      </x:c>
      <x:c r="C985" t="str">
        <x:v>Skimia</x:v>
      </x:c>
      <x:c r="D985" t="str">
        <x:v>Fruits &amp; Vegetables</x:v>
      </x:c>
      <x:c r="E985" t="str">
        <x:v>Discontinued</x:v>
      </x:c>
      <x:c r="F985" t="n">
        <x:v>26</x:v>
      </x:c>
      <x:c r="G985" t="n">
        <x:v>97</x:v>
      </x:c>
      <x:c r="H985" s="22" t="n">
        <x:v>156</x:v>
      </x:c>
      <x:c r="I985" t="n">
        <x:v>12</x:v>
      </x:c>
      <x:c r="J985" t="n">
        <x:v>0</x:v>
      </x:c>
    </x:row>
    <x:row r="986" ht="18" customHeight="1">
      <x:c r="A986" t="str">
        <x:v>58-219-0241</x:v>
      </x:c>
      <x:c r="B986" t="str">
        <x:v>Avocado Oil</x:v>
      </x:c>
      <x:c r="C986" t="str">
        <x:v>Twitterwire</x:v>
      </x:c>
      <x:c r="D986" t="str">
        <x:v>Oils &amp; Fats</x:v>
      </x:c>
      <x:c r="E986" t="str">
        <x:v>Discontinued</x:v>
      </x:c>
      <x:c r="F986" t="n">
        <x:v>50</x:v>
      </x:c>
      <x:c r="G986" t="n">
        <x:v>36</x:v>
      </x:c>
      <x:c r="H986" s="22" t="n">
        <x:v>500</x:v>
      </x:c>
      <x:c r="I986" t="n">
        <x:v>81</x:v>
      </x:c>
      <x:c r="J986" t="n">
        <x:v>0</x:v>
      </x:c>
    </x:row>
    <x:row r="987" ht="18" customHeight="1">
      <x:c r="A987" t="str">
        <x:v>94-528-8088</x:v>
      </x:c>
      <x:c r="B987" t="str">
        <x:v>Haddock</x:v>
      </x:c>
      <x:c r="C987" t="str">
        <x:v>Zoovu</x:v>
      </x:c>
      <x:c r="D987" t="str">
        <x:v>Seafood</x:v>
      </x:c>
      <x:c r="E987" t="str">
        <x:v>Active</x:v>
      </x:c>
      <x:c r="F987" t="n">
        <x:v>43</x:v>
      </x:c>
      <x:c r="G987" t="n">
        <x:v>7</x:v>
      </x:c>
      <x:c r="H987" s="22" t="n">
        <x:v>387</x:v>
      </x:c>
      <x:c r="I987" t="n">
        <x:v>63</x:v>
      </x:c>
      <x:c r="J987" t="n">
        <x:v>0</x:v>
      </x:c>
    </x:row>
    <x:row r="988" ht="18" customHeight="1">
      <x:c r="A988" t="str">
        <x:v>95-349-0828</x:v>
      </x:c>
      <x:c r="B988" t="str">
        <x:v>Feta Cheese</x:v>
      </x:c>
      <x:c r="C988" t="str">
        <x:v>Avaveo</x:v>
      </x:c>
      <x:c r="D988" t="str">
        <x:v>Dairy</x:v>
      </x:c>
      <x:c r="E988" t="str">
        <x:v>Active</x:v>
      </x:c>
      <x:c r="F988" t="n">
        <x:v>97</x:v>
      </x:c>
      <x:c r="G988" t="n">
        <x:v>57</x:v>
      </x:c>
      <x:c r="H988" s="22" t="n">
        <x:v>679</x:v>
      </x:c>
      <x:c r="I988" t="n">
        <x:v>84</x:v>
      </x:c>
      <x:c r="J988" t="n">
        <x:v>0</x:v>
      </x:c>
    </x:row>
    <x:row r="989" ht="18" customHeight="1">
      <x:c r="A989" t="str">
        <x:v>03-061-1344</x:v>
      </x:c>
      <x:c r="B989" t="str">
        <x:v>Trout</x:v>
      </x:c>
      <x:c r="C989" t="str">
        <x:v>Izio</x:v>
      </x:c>
      <x:c r="D989" t="str">
        <x:v>Seafood</x:v>
      </x:c>
      <x:c r="E989" t="str">
        <x:v>Active</x:v>
      </x:c>
      <x:c r="F989" t="n">
        <x:v>98</x:v>
      </x:c>
      <x:c r="G989" t="n">
        <x:v>65</x:v>
      </x:c>
      <x:c r="H989" s="22" t="n">
        <x:v>1176</x:v>
      </x:c>
      <x:c r="I989" t="n">
        <x:v>76</x:v>
      </x:c>
      <x:c r="J989" t="n">
        <x:v>0</x:v>
      </x:c>
    </x:row>
    <x:row r="990" ht="18" customHeight="1">
      <x:c r="A990" t="str">
        <x:v>67-984-5368</x:v>
      </x:c>
      <x:c r="B990" t="str">
        <x:v>Parmesan Cheese</x:v>
      </x:c>
      <x:c r="C990" t="str">
        <x:v>Yakidoo</x:v>
      </x:c>
      <x:c r="D990" t="str">
        <x:v>Dairy</x:v>
      </x:c>
      <x:c r="E990" t="str">
        <x:v>Backordered</x:v>
      </x:c>
      <x:c r="F990" t="n">
        <x:v>52</x:v>
      </x:c>
      <x:c r="G990" t="n">
        <x:v>56</x:v>
      </x:c>
      <x:c r="H990" s="22" t="n">
        <x:v>624</x:v>
      </x:c>
      <x:c r="I990" t="n">
        <x:v>34</x:v>
      </x:c>
      <x:c r="J990" t="n">
        <x:v>34</x:v>
      </x:c>
    </x:row>
    <x:row r="991" ht="18" customHeight="1">
      <x:c r="A991" t="str">
        <x:v>44-782-1395</x:v>
      </x:c>
      <x:c r="B991" t="str">
        <x:v>Raw Sugar</x:v>
      </x:c>
      <x:c r="C991" t="str">
        <x:v>Flipopia</x:v>
      </x:c>
      <x:c r="D991" t="str">
        <x:v>Grains &amp; Pulses</x:v>
      </x:c>
      <x:c r="E991" t="str">
        <x:v>Active</x:v>
      </x:c>
      <x:c r="F991" t="n">
        <x:v>72</x:v>
      </x:c>
      <x:c r="G991" t="n">
        <x:v>72</x:v>
      </x:c>
      <x:c r="H991" s="22" t="n">
        <x:v>108</x:v>
      </x:c>
      <x:c r="I991" t="n">
        <x:v>68</x:v>
      </x:c>
      <x:c r="J991" t="n">
        <x:v>0</x:v>
      </x:c>
    </x:row>
    <x:row r="992" ht="18" customHeight="1">
      <x:c r="A992" t="str">
        <x:v>75-927-9108</x:v>
      </x:c>
      <x:c r="B992" t="str">
        <x:v>Cabbage</x:v>
      </x:c>
      <x:c r="C992" t="str">
        <x:v>Topdrive</x:v>
      </x:c>
      <x:c r="D992" t="str">
        <x:v>Fruits &amp; Vegetables</x:v>
      </x:c>
      <x:c r="E992" t="str">
        <x:v>Discontinued</x:v>
      </x:c>
      <x:c r="F992" t="n">
        <x:v>24</x:v>
      </x:c>
      <x:c r="G992" t="n">
        <x:v>32</x:v>
      </x:c>
      <x:c r="H992" s="22" t="n">
        <x:v>24</x:v>
      </x:c>
      <x:c r="I992" t="n">
        <x:v>17</x:v>
      </x:c>
      <x:c r="J992" t="n">
        <x:v>0</x:v>
      </x:c>
    </x:row>
    <x:row r="993" ht="18" customHeight="1">
      <x:c r="A993" t="str">
        <x:v>78-614-4402</x:v>
      </x:c>
      <x:c r="B993" t="str">
        <x:v>Green Beans</x:v>
      </x:c>
      <x:c r="C993" t="str">
        <x:v>Gigazoom</x:v>
      </x:c>
      <x:c r="D993" t="str">
        <x:v>Fruits &amp; Vegetables</x:v>
      </x:c>
      <x:c r="E993" t="str">
        <x:v>Discontinued</x:v>
      </x:c>
      <x:c r="F993" t="n">
        <x:v>81</x:v>
      </x:c>
      <x:c r="G993" t="n">
        <x:v>99</x:v>
      </x:c>
      <x:c r="H993" s="22" t="n">
        <x:v>162</x:v>
      </x:c>
      <x:c r="I993" t="n">
        <x:v>28</x:v>
      </x:c>
      <x:c r="J993" t="n">
        <x:v>0</x:v>
      </x:c>
    </x:row>
    <x:row r="994" ht="18" customHeight="1">
      <x:c r="A994" t="str">
        <x:v>01-903-5373</x:v>
      </x:c>
      <x:c r="B994" t="str">
        <x:v>Strawberries</x:v>
      </x:c>
      <x:c r="C994" t="str">
        <x:v>Lazz</x:v>
      </x:c>
      <x:c r="D994" t="str">
        <x:v>Fruits &amp; Vegetables</x:v>
      </x:c>
      <x:c r="E994" t="str">
        <x:v>Discontinued</x:v>
      </x:c>
      <x:c r="F994" t="n">
        <x:v>94</x:v>
      </x:c>
      <x:c r="G994" t="n">
        <x:v>77</x:v>
      </x:c>
      <x:c r="H994" s="22" t="n">
        <x:v>564</x:v>
      </x:c>
      <x:c r="I994" t="n">
        <x:v>89</x:v>
      </x:c>
      <x:c r="J994" t="n">
        <x:v>0</x:v>
      </x:c>
    </x:row>
  </x:sheetData>
  <x:mergeCells>
    <x:mergeCell ref="A1:J1"/>
    <x:mergeCell ref="A2:J2"/>
  </x:mergeCells>
  <x:conditionalFormatting sqref="J5:J994">
    <x:cfRule type="dataBar" priority="1">
      <x:dataBar>
        <x:cfvo type="min"/>
        <x:cfvo type="max"/>
        <x:color rgb="FFD18A28"/>
      </x:dataBar>
      <x:extLst>
        <x:ext xmlns:x14="http://schemas.microsoft.com/office/spreadsheetml/2009/9/main" uri="{B025F937-C7B1-47D3-B67F-A62EFF666E3E}">
          <x14:id>{A0B52115-2F78-DC06-4EEA-89FCF7D0624F}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B52115-2F78-DC06-4EEA-89FCF7D0624F}">
            <x14:dataBar gradient="1">
              <x14:cfvo type="min"/>
              <x14:cfvo type="max"/>
              <x14:fillColor rgb="FFD18A28"/>
            </x14:dataBar>
          </x14:cfRule>
          <xm:sqref>J5:J994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18" hidden="0" customWidth="1"/>
    <x:col min="9" max="9" width="21" hidden="0" customWidth="1"/>
    <x:col min="10" max="10" width="17" hidden="0" customWidth="1"/>
    <x:col min="11" max="11" width="16" hidden="0" customWidth="1"/>
  </x:cols>
  <x:sheetData>
    <x:row r="1" ht="34" customHeight="1">
      <x:c r="A1" s="4" t="str">
        <x:v>SIMULATED PURCHASE ORDER SAMPLE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9" t="str">
        <x:v>100 illustrative PO events | full 2,990 records in CSV/SQLite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8" customHeight="1">
      <x:c r="A4" s="27" t="str">
        <x:v>PO ID</x:v>
      </x:c>
      <x:c r="B4" s="27" t="str">
        <x:v>Supplier</x:v>
      </x:c>
      <x:c r="C4" s="27" t="str">
        <x:v>Product</x:v>
      </x:c>
      <x:c r="D4" s="27" t="str">
        <x:v>Order Date</x:v>
      </x:c>
      <x:c r="E4" s="27" t="str">
        <x:v>Promised Date</x:v>
      </x:c>
      <x:c r="F4" s="27" t="str">
        <x:v>Receipt Date</x:v>
      </x:c>
      <x:c r="G4" s="27" t="str">
        <x:v>Ordered Qty</x:v>
      </x:c>
      <x:c r="H4" s="27" t="str">
        <x:v>Received Qty</x:v>
      </x:c>
      <x:c r="I4" s="27" t="str">
        <x:v>Modeled Order $</x:v>
      </x:c>
      <x:c r="J4" s="27" t="str">
        <x:v>Status</x:v>
      </x:c>
      <x:c r="K4" s="27" t="str">
        <x:v>OTIF 0/1</x:v>
      </x:c>
    </x:row>
    <x:row r="5" ht="18" customHeight="1">
      <x:c r="A5" t="str">
        <x:v>PO-000001</x:v>
      </x:c>
      <x:c r="B5" t="str">
        <x:v>Eimbee</x:v>
      </x:c>
      <x:c r="C5" t="str">
        <x:v>Bell Pepper</x:v>
      </x:c>
      <x:c r="D5" t="str">
        <x:v>2024-05-20</x:v>
      </x:c>
      <x:c r="E5" t="str">
        <x:v>2024-06-06</x:v>
      </x:c>
      <x:c r="F5" t="str">
        <x:v>2024-06-09</x:v>
      </x:c>
      <x:c r="G5" t="n">
        <x:v>22</x:v>
      </x:c>
      <x:c r="H5" t="n">
        <x:v>22</x:v>
      </x:c>
      <x:c r="I5" s="22" t="n">
        <x:v>80.74</x:v>
      </x:c>
      <x:c r="J5" t="str">
        <x:v>Received</x:v>
      </x:c>
      <x:c r="K5" t="n">
        <x:v>0</x:v>
      </x:c>
    </x:row>
    <x:row r="6" ht="18" customHeight="1">
      <x:c r="A6" t="str">
        <x:v>PO-000002</x:v>
      </x:c>
      <x:c r="B6" t="str">
        <x:v>Eimbee</x:v>
      </x:c>
      <x:c r="C6" t="str">
        <x:v>Bell Pepper</x:v>
      </x:c>
      <x:c r="D6" t="str">
        <x:v>2024-10-10</x:v>
      </x:c>
      <x:c r="E6" t="str">
        <x:v>2024-10-21</x:v>
      </x:c>
      <x:c r="F6" t="str">
        <x:v>2024-10-22</x:v>
      </x:c>
      <x:c r="G6" t="n">
        <x:v>17</x:v>
      </x:c>
      <x:c r="H6" t="n">
        <x:v>17</x:v>
      </x:c>
      <x:c r="I6" s="22" t="n">
        <x:v>68.68</x:v>
      </x:c>
      <x:c r="J6" t="str">
        <x:v>Received</x:v>
      </x:c>
      <x:c r="K6" t="n">
        <x:v>0</x:v>
      </x:c>
    </x:row>
    <x:row r="7" ht="18" customHeight="1">
      <x:c r="A7" t="str">
        <x:v>PO-000003</x:v>
      </x:c>
      <x:c r="B7" t="str">
        <x:v>Eimbee</x:v>
      </x:c>
      <x:c r="C7" t="str">
        <x:v>Bell Pepper</x:v>
      </x:c>
      <x:c r="D7" t="str">
        <x:v>2024-10-23</x:v>
      </x:c>
      <x:c r="E7" t="str">
        <x:v>2024-11-09</x:v>
      </x:c>
      <x:c r="F7" t="str"/>
      <x:c r="G7" t="n">
        <x:v>22</x:v>
      </x:c>
      <x:c r="H7" t="n">
        <x:v>0</x:v>
      </x:c>
      <x:c r="I7" s="22" t="n">
        <x:v>83.6</x:v>
      </x:c>
      <x:c r="J7" t="str">
        <x:v>Open</x:v>
      </x:c>
      <x:c r="K7" t="n">
        <x:v>0</x:v>
      </x:c>
    </x:row>
    <x:row r="8" ht="18" customHeight="1">
      <x:c r="A8" t="str">
        <x:v>PO-000004</x:v>
      </x:c>
      <x:c r="B8" t="str">
        <x:v>Eimbee</x:v>
      </x:c>
      <x:c r="C8" t="str">
        <x:v>Bell Pepper</x:v>
      </x:c>
      <x:c r="D8" t="str">
        <x:v>2024-12-18</x:v>
      </x:c>
      <x:c r="E8" t="str">
        <x:v>2025-01-03</x:v>
      </x:c>
      <x:c r="F8" t="str">
        <x:v>2025-01-01</x:v>
      </x:c>
      <x:c r="G8" t="n">
        <x:v>13</x:v>
      </x:c>
      <x:c r="H8" t="n">
        <x:v>13</x:v>
      </x:c>
      <x:c r="I8" s="22" t="n">
        <x:v>50.18</x:v>
      </x:c>
      <x:c r="J8" t="str">
        <x:v>Received</x:v>
      </x:c>
      <x:c r="K8" t="n">
        <x:v>1</x:v>
      </x:c>
    </x:row>
    <x:row r="9" ht="18" customHeight="1">
      <x:c r="A9" t="str">
        <x:v>PO-000005</x:v>
      </x:c>
      <x:c r="B9" t="str">
        <x:v>Digitube</x:v>
      </x:c>
      <x:c r="C9" t="str">
        <x:v>Vegetable Oil</x:v>
      </x:c>
      <x:c r="D9" t="str">
        <x:v>2024-03-02</x:v>
      </x:c>
      <x:c r="E9" t="str">
        <x:v>2024-03-19</x:v>
      </x:c>
      <x:c r="F9" t="str">
        <x:v>2024-03-20</x:v>
      </x:c>
      <x:c r="G9" t="n">
        <x:v>64</x:v>
      </x:c>
      <x:c r="H9" t="n">
        <x:v>64</x:v>
      </x:c>
      <x:c r="I9" s="22" t="n">
        <x:v>78.08</x:v>
      </x:c>
      <x:c r="J9" t="str">
        <x:v>Received</x:v>
      </x:c>
      <x:c r="K9" t="n">
        <x:v>0</x:v>
      </x:c>
    </x:row>
    <x:row r="10" ht="18" customHeight="1">
      <x:c r="A10" t="str">
        <x:v>PO-000006</x:v>
      </x:c>
      <x:c r="B10" t="str">
        <x:v>Digitube</x:v>
      </x:c>
      <x:c r="C10" t="str">
        <x:v>Vegetable Oil</x:v>
      </x:c>
      <x:c r="D10" t="str">
        <x:v>2024-10-23</x:v>
      </x:c>
      <x:c r="E10" t="str">
        <x:v>2024-10-28</x:v>
      </x:c>
      <x:c r="F10" t="str">
        <x:v>2024-11-02</x:v>
      </x:c>
      <x:c r="G10" t="n">
        <x:v>115</x:v>
      </x:c>
      <x:c r="H10" t="n">
        <x:v>115</x:v>
      </x:c>
      <x:c r="I10" s="22" t="n">
        <x:v>127.65</x:v>
      </x:c>
      <x:c r="J10" t="str">
        <x:v>Received</x:v>
      </x:c>
      <x:c r="K10" t="n">
        <x:v>0</x:v>
      </x:c>
    </x:row>
    <x:row r="11" ht="18" customHeight="1">
      <x:c r="A11" t="str">
        <x:v>PO-000007</x:v>
      </x:c>
      <x:c r="B11" t="str">
        <x:v>Digitube</x:v>
      </x:c>
      <x:c r="C11" t="str">
        <x:v>Vegetable Oil</x:v>
      </x:c>
      <x:c r="D11" t="str">
        <x:v>2024-12-31</x:v>
      </x:c>
      <x:c r="E11" t="str">
        <x:v>2025-01-05</x:v>
      </x:c>
      <x:c r="F11" t="str">
        <x:v>2025-01-03</x:v>
      </x:c>
      <x:c r="G11" t="n">
        <x:v>70</x:v>
      </x:c>
      <x:c r="H11" t="n">
        <x:v>70</x:v>
      </x:c>
      <x:c r="I11" s="22" t="n">
        <x:v>86.1</x:v>
      </x:c>
      <x:c r="J11" t="str">
        <x:v>Received</x:v>
      </x:c>
      <x:c r="K11" t="n">
        <x:v>1</x:v>
      </x:c>
    </x:row>
    <x:row r="12" ht="18" customHeight="1">
      <x:c r="A12" t="str">
        <x:v>PO-000008</x:v>
      </x:c>
      <x:c r="B12" t="str">
        <x:v>Digitube</x:v>
      </x:c>
      <x:c r="C12" t="str">
        <x:v>Vegetable Oil</x:v>
      </x:c>
      <x:c r="D12" t="str">
        <x:v>2025-02-03</x:v>
      </x:c>
      <x:c r="E12" t="str">
        <x:v>2025-02-15</x:v>
      </x:c>
      <x:c r="F12" t="str">
        <x:v>2025-02-12</x:v>
      </x:c>
      <x:c r="G12" t="n">
        <x:v>165</x:v>
      </x:c>
      <x:c r="H12" t="n">
        <x:v>165</x:v>
      </x:c>
      <x:c r="I12" s="22" t="n">
        <x:v>196.35</x:v>
      </x:c>
      <x:c r="J12" t="str">
        <x:v>Received</x:v>
      </x:c>
      <x:c r="K12" t="n">
        <x:v>1</x:v>
      </x:c>
    </x:row>
    <x:row r="13" ht="18" customHeight="1">
      <x:c r="A13" t="str">
        <x:v>PO-000009</x:v>
      </x:c>
      <x:c r="B13" t="str">
        <x:v>BlogXS</x:v>
      </x:c>
      <x:c r="C13" t="str">
        <x:v>Parmesan Cheese</x:v>
      </x:c>
      <x:c r="D13" t="str">
        <x:v>2024-03-13</x:v>
      </x:c>
      <x:c r="E13" t="str">
        <x:v>2024-03-30</x:v>
      </x:c>
      <x:c r="F13" t="str">
        <x:v>2024-04-08</x:v>
      </x:c>
      <x:c r="G13" t="n">
        <x:v>78</x:v>
      </x:c>
      <x:c r="H13" t="n">
        <x:v>58</x:v>
      </x:c>
      <x:c r="I13" s="22" t="n">
        <x:v>590.46</x:v>
      </x:c>
      <x:c r="J13" t="str">
        <x:v>Partial</x:v>
      </x:c>
      <x:c r="K13" t="n">
        <x:v>0</x:v>
      </x:c>
    </x:row>
    <x:row r="14" ht="18" customHeight="1">
      <x:c r="A14" t="str">
        <x:v>PO-000010</x:v>
      </x:c>
      <x:c r="B14" t="str">
        <x:v>BlogXS</x:v>
      </x:c>
      <x:c r="C14" t="str">
        <x:v>Parmesan Cheese</x:v>
      </x:c>
      <x:c r="D14" t="str">
        <x:v>2024-03-16</x:v>
      </x:c>
      <x:c r="E14" t="str">
        <x:v>2024-03-30</x:v>
      </x:c>
      <x:c r="F14" t="str">
        <x:v>2024-03-29</x:v>
      </x:c>
      <x:c r="G14" t="n">
        <x:v>80</x:v>
      </x:c>
      <x:c r="H14" t="n">
        <x:v>45</x:v>
      </x:c>
      <x:c r="I14" s="22" t="n">
        <x:v>603.2</x:v>
      </x:c>
      <x:c r="J14" t="str">
        <x:v>Partial</x:v>
      </x:c>
      <x:c r="K14" t="n">
        <x:v>0</x:v>
      </x:c>
    </x:row>
    <x:row r="15" ht="18" customHeight="1">
      <x:c r="A15" t="str">
        <x:v>PO-000011</x:v>
      </x:c>
      <x:c r="B15" t="str">
        <x:v>Avaveo</x:v>
      </x:c>
      <x:c r="C15" t="str">
        <x:v>Carrot</x:v>
      </x:c>
      <x:c r="D15" t="str">
        <x:v>2024-09-25</x:v>
      </x:c>
      <x:c r="E15" t="str">
        <x:v>2024-10-04</x:v>
      </x:c>
      <x:c r="F15" t="str">
        <x:v>2024-10-01</x:v>
      </x:c>
      <x:c r="G15" t="n">
        <x:v>96</x:v>
      </x:c>
      <x:c r="H15" t="n">
        <x:v>96</x:v>
      </x:c>
      <x:c r="I15" s="22" t="n">
        <x:v>107.52</x:v>
      </x:c>
      <x:c r="J15" t="str">
        <x:v>Received</x:v>
      </x:c>
      <x:c r="K15" t="n">
        <x:v>1</x:v>
      </x:c>
    </x:row>
    <x:row r="16" ht="18" customHeight="1">
      <x:c r="A16" t="str">
        <x:v>PO-000012</x:v>
      </x:c>
      <x:c r="B16" t="str">
        <x:v>Avaveo</x:v>
      </x:c>
      <x:c r="C16" t="str">
        <x:v>Carrot</x:v>
      </x:c>
      <x:c r="D16" t="str">
        <x:v>2024-12-01</x:v>
      </x:c>
      <x:c r="E16" t="str">
        <x:v>2024-12-17</x:v>
      </x:c>
      <x:c r="F16" t="str">
        <x:v>2024-12-24</x:v>
      </x:c>
      <x:c r="G16" t="n">
        <x:v>173</x:v>
      </x:c>
      <x:c r="H16" t="n">
        <x:v>151</x:v>
      </x:c>
      <x:c r="I16" s="22" t="n">
        <x:v>190.3</x:v>
      </x:c>
      <x:c r="J16" t="str">
        <x:v>Partial</x:v>
      </x:c>
      <x:c r="K16" t="n">
        <x:v>0</x:v>
      </x:c>
    </x:row>
    <x:row r="17" ht="18" customHeight="1">
      <x:c r="A17" t="str">
        <x:v>PO-000013</x:v>
      </x:c>
      <x:c r="B17" t="str">
        <x:v>Katz</x:v>
      </x:c>
      <x:c r="C17" t="str">
        <x:v>Garlic</x:v>
      </x:c>
      <x:c r="D17" t="str">
        <x:v>2024-05-20</x:v>
      </x:c>
      <x:c r="E17" t="str">
        <x:v>2024-06-07</x:v>
      </x:c>
      <x:c r="F17" t="str">
        <x:v>2024-06-04</x:v>
      </x:c>
      <x:c r="G17" t="n">
        <x:v>128</x:v>
      </x:c>
      <x:c r="H17" t="n">
        <x:v>128</x:v>
      </x:c>
      <x:c r="I17" s="22" t="n">
        <x:v>730.88</x:v>
      </x:c>
      <x:c r="J17" t="str">
        <x:v>Received</x:v>
      </x:c>
      <x:c r="K17" t="n">
        <x:v>1</x:v>
      </x:c>
    </x:row>
    <x:row r="18" ht="18" customHeight="1">
      <x:c r="A18" t="str">
        <x:v>PO-000014</x:v>
      </x:c>
      <x:c r="B18" t="str">
        <x:v>Katz</x:v>
      </x:c>
      <x:c r="C18" t="str">
        <x:v>Garlic</x:v>
      </x:c>
      <x:c r="D18" t="str">
        <x:v>2024-05-31</x:v>
      </x:c>
      <x:c r="E18" t="str">
        <x:v>2024-06-16</x:v>
      </x:c>
      <x:c r="F18" t="str"/>
      <x:c r="G18" t="n">
        <x:v>65</x:v>
      </x:c>
      <x:c r="H18" t="n">
        <x:v>0</x:v>
      </x:c>
      <x:c r="I18" s="22" t="n">
        <x:v>372.45</x:v>
      </x:c>
      <x:c r="J18" t="str">
        <x:v>Open</x:v>
      </x:c>
      <x:c r="K18" t="n">
        <x:v>0</x:v>
      </x:c>
    </x:row>
    <x:row r="19" ht="18" customHeight="1">
      <x:c r="A19" t="str">
        <x:v>PO-000015</x:v>
      </x:c>
      <x:c r="B19" t="str">
        <x:v>Katz</x:v>
      </x:c>
      <x:c r="C19" t="str">
        <x:v>Garlic</x:v>
      </x:c>
      <x:c r="D19" t="str">
        <x:v>2024-10-12</x:v>
      </x:c>
      <x:c r="E19" t="str">
        <x:v>2024-10-17</x:v>
      </x:c>
      <x:c r="F19" t="str">
        <x:v>2024-10-14</x:v>
      </x:c>
      <x:c r="G19" t="n">
        <x:v>107</x:v>
      </x:c>
      <x:c r="H19" t="n">
        <x:v>107</x:v>
      </x:c>
      <x:c r="I19" s="22" t="n">
        <x:v>604.55</x:v>
      </x:c>
      <x:c r="J19" t="str">
        <x:v>Received</x:v>
      </x:c>
      <x:c r="K19" t="n">
        <x:v>1</x:v>
      </x:c>
    </x:row>
    <x:row r="20" ht="18" customHeight="1">
      <x:c r="A20" t="str">
        <x:v>PO-000016</x:v>
      </x:c>
      <x:c r="B20" t="str">
        <x:v>Yata</x:v>
      </x:c>
      <x:c r="C20" t="str">
        <x:v>Lemon</x:v>
      </x:c>
      <x:c r="D20" t="str">
        <x:v>2024-09-26</x:v>
      </x:c>
      <x:c r="E20" t="str">
        <x:v>2024-10-10</x:v>
      </x:c>
      <x:c r="F20" t="str"/>
      <x:c r="G20" t="n">
        <x:v>64</x:v>
      </x:c>
      <x:c r="H20" t="n">
        <x:v>0</x:v>
      </x:c>
      <x:c r="I20" s="22" t="n">
        <x:v>122.88</x:v>
      </x:c>
      <x:c r="J20" t="str">
        <x:v>Open</x:v>
      </x:c>
      <x:c r="K20" t="n">
        <x:v>0</x:v>
      </x:c>
    </x:row>
    <x:row r="21" ht="18" customHeight="1">
      <x:c r="A21" t="str">
        <x:v>PO-000017</x:v>
      </x:c>
      <x:c r="B21" t="str">
        <x:v>Yata</x:v>
      </x:c>
      <x:c r="C21" t="str">
        <x:v>Lemon</x:v>
      </x:c>
      <x:c r="D21" t="str">
        <x:v>2024-12-15</x:v>
      </x:c>
      <x:c r="E21" t="str">
        <x:v>2024-12-28</x:v>
      </x:c>
      <x:c r="F21" t="str">
        <x:v>2025-01-05</x:v>
      </x:c>
      <x:c r="G21" t="n">
        <x:v>30</x:v>
      </x:c>
      <x:c r="H21" t="n">
        <x:v>30</x:v>
      </x:c>
      <x:c r="I21" s="22" t="n">
        <x:v>63.3</x:v>
      </x:c>
      <x:c r="J21" t="str">
        <x:v>Received</x:v>
      </x:c>
      <x:c r="K21" t="n">
        <x:v>0</x:v>
      </x:c>
    </x:row>
    <x:row r="22" ht="18" customHeight="1">
      <x:c r="A22" t="str">
        <x:v>PO-000018</x:v>
      </x:c>
      <x:c r="B22" t="str">
        <x:v>Yata</x:v>
      </x:c>
      <x:c r="C22" t="str">
        <x:v>Lemon</x:v>
      </x:c>
      <x:c r="D22" t="str">
        <x:v>2024-12-18</x:v>
      </x:c>
      <x:c r="E22" t="str">
        <x:v>2024-12-25</x:v>
      </x:c>
      <x:c r="F22" t="str"/>
      <x:c r="G22" t="n">
        <x:v>40</x:v>
      </x:c>
      <x:c r="H22" t="n">
        <x:v>0</x:v>
      </x:c>
      <x:c r="I22" s="22" t="n">
        <x:v>78.8</x:v>
      </x:c>
      <x:c r="J22" t="str">
        <x:v>Open</x:v>
      </x:c>
      <x:c r="K22" t="n">
        <x:v>0</x:v>
      </x:c>
    </x:row>
    <x:row r="23" ht="18" customHeight="1">
      <x:c r="A23" t="str">
        <x:v>PO-000019</x:v>
      </x:c>
      <x:c r="B23" t="str">
        <x:v>Lazz</x:v>
      </x:c>
      <x:c r="C23" t="str">
        <x:v>Coconut Sugar</x:v>
      </x:c>
      <x:c r="D23" t="str">
        <x:v>2024-03-13</x:v>
      </x:c>
      <x:c r="E23" t="str">
        <x:v>2024-03-18</x:v>
      </x:c>
      <x:c r="F23" t="str">
        <x:v>2024-03-16</x:v>
      </x:c>
      <x:c r="G23" t="n">
        <x:v>117</x:v>
      </x:c>
      <x:c r="H23" t="n">
        <x:v>117</x:v>
      </x:c>
      <x:c r="I23" s="22" t="n">
        <x:v>390.78</x:v>
      </x:c>
      <x:c r="J23" t="str">
        <x:v>Received</x:v>
      </x:c>
      <x:c r="K23" t="n">
        <x:v>1</x:v>
      </x:c>
    </x:row>
    <x:row r="24" ht="18" customHeight="1">
      <x:c r="A24" t="str">
        <x:v>PO-000020</x:v>
      </x:c>
      <x:c r="B24" t="str">
        <x:v>Lazz</x:v>
      </x:c>
      <x:c r="C24" t="str">
        <x:v>Coconut Sugar</x:v>
      </x:c>
      <x:c r="D24" t="str">
        <x:v>2024-06-20</x:v>
      </x:c>
      <x:c r="E24" t="str">
        <x:v>2024-06-24</x:v>
      </x:c>
      <x:c r="F24" t="str">
        <x:v>2024-06-21</x:v>
      </x:c>
      <x:c r="G24" t="n">
        <x:v>141</x:v>
      </x:c>
      <x:c r="H24" t="n">
        <x:v>141</x:v>
      </x:c>
      <x:c r="I24" s="22" t="n">
        <x:v>451.2</x:v>
      </x:c>
      <x:c r="J24" t="str">
        <x:v>Received</x:v>
      </x:c>
      <x:c r="K24" t="n">
        <x:v>1</x:v>
      </x:c>
    </x:row>
    <x:row r="25" ht="18" customHeight="1">
      <x:c r="A25" t="str">
        <x:v>PO-000021</x:v>
      </x:c>
      <x:c r="B25" t="str">
        <x:v>Lazz</x:v>
      </x:c>
      <x:c r="C25" t="str">
        <x:v>Coconut Sugar</x:v>
      </x:c>
      <x:c r="D25" t="str">
        <x:v>2024-07-29</x:v>
      </x:c>
      <x:c r="E25" t="str">
        <x:v>2024-08-07</x:v>
      </x:c>
      <x:c r="F25" t="str">
        <x:v>2024-08-06</x:v>
      </x:c>
      <x:c r="G25" t="n">
        <x:v>79</x:v>
      </x:c>
      <x:c r="H25" t="n">
        <x:v>51</x:v>
      </x:c>
      <x:c r="I25" s="22" t="n">
        <x:v>246.48</x:v>
      </x:c>
      <x:c r="J25" t="str">
        <x:v>Partial</x:v>
      </x:c>
      <x:c r="K25" t="n">
        <x:v>0</x:v>
      </x:c>
    </x:row>
    <x:row r="26" ht="18" customHeight="1">
      <x:c r="A26" t="str">
        <x:v>PO-000022</x:v>
      </x:c>
      <x:c r="B26" t="str">
        <x:v>Lazz</x:v>
      </x:c>
      <x:c r="C26" t="str">
        <x:v>Coconut Sugar</x:v>
      </x:c>
      <x:c r="D26" t="str">
        <x:v>2024-08-13</x:v>
      </x:c>
      <x:c r="E26" t="str">
        <x:v>2024-08-24</x:v>
      </x:c>
      <x:c r="F26" t="str">
        <x:v>2024-08-24</x:v>
      </x:c>
      <x:c r="G26" t="n">
        <x:v>74</x:v>
      </x:c>
      <x:c r="H26" t="n">
        <x:v>74</x:v>
      </x:c>
      <x:c r="I26" s="22" t="n">
        <x:v>245.68</x:v>
      </x:c>
      <x:c r="J26" t="str">
        <x:v>Received</x:v>
      </x:c>
      <x:c r="K26" t="n">
        <x:v>1</x:v>
      </x:c>
    </x:row>
    <x:row r="27" ht="18" customHeight="1">
      <x:c r="A27" t="str">
        <x:v>PO-000023</x:v>
      </x:c>
      <x:c r="B27" t="str">
        <x:v>Zoonder</x:v>
      </x:c>
      <x:c r="C27" t="str">
        <x:v>Anchovies</x:v>
      </x:c>
      <x:c r="D27" t="str">
        <x:v>2024-04-28</x:v>
      </x:c>
      <x:c r="E27" t="str">
        <x:v>2024-05-09</x:v>
      </x:c>
      <x:c r="F27" t="str">
        <x:v>2024-05-12</x:v>
      </x:c>
      <x:c r="G27" t="n">
        <x:v>21</x:v>
      </x:c>
      <x:c r="H27" t="n">
        <x:v>21</x:v>
      </x:c>
      <x:c r="I27" s="22" t="n">
        <x:v>120.75</x:v>
      </x:c>
      <x:c r="J27" t="str">
        <x:v>Received</x:v>
      </x:c>
      <x:c r="K27" t="n">
        <x:v>0</x:v>
      </x:c>
    </x:row>
    <x:row r="28" ht="18" customHeight="1">
      <x:c r="A28" t="str">
        <x:v>PO-000024</x:v>
      </x:c>
      <x:c r="B28" t="str">
        <x:v>Zoonder</x:v>
      </x:c>
      <x:c r="C28" t="str">
        <x:v>Anchovies</x:v>
      </x:c>
      <x:c r="D28" t="str">
        <x:v>2024-07-19</x:v>
      </x:c>
      <x:c r="E28" t="str">
        <x:v>2024-07-23</x:v>
      </x:c>
      <x:c r="F28" t="str">
        <x:v>2024-07-31</x:v>
      </x:c>
      <x:c r="G28" t="n">
        <x:v>19</x:v>
      </x:c>
      <x:c r="H28" t="n">
        <x:v>14</x:v>
      </x:c>
      <x:c r="I28" s="22" t="n">
        <x:v>108.11</x:v>
      </x:c>
      <x:c r="J28" t="str">
        <x:v>Partial</x:v>
      </x:c>
      <x:c r="K28" t="n">
        <x:v>0</x:v>
      </x:c>
    </x:row>
    <x:row r="29" ht="18" customHeight="1">
      <x:c r="A29" t="str">
        <x:v>PO-000025</x:v>
      </x:c>
      <x:c r="B29" t="str">
        <x:v>Oozz</x:v>
      </x:c>
      <x:c r="C29" t="str">
        <x:v>Cheese</x:v>
      </x:c>
      <x:c r="D29" t="str">
        <x:v>2024-11-04</x:v>
      </x:c>
      <x:c r="E29" t="str">
        <x:v>2024-11-08</x:v>
      </x:c>
      <x:c r="F29" t="str">
        <x:v>2024-11-08</x:v>
      </x:c>
      <x:c r="G29" t="n">
        <x:v>47</x:v>
      </x:c>
      <x:c r="H29" t="n">
        <x:v>39</x:v>
      </x:c>
      <x:c r="I29" s="22" t="n">
        <x:v>254.74</x:v>
      </x:c>
      <x:c r="J29" t="str">
        <x:v>Partial</x:v>
      </x:c>
      <x:c r="K29" t="n">
        <x:v>0</x:v>
      </x:c>
    </x:row>
    <x:row r="30" ht="18" customHeight="1">
      <x:c r="A30" t="str">
        <x:v>PO-000026</x:v>
      </x:c>
      <x:c r="B30" t="str">
        <x:v>Oozz</x:v>
      </x:c>
      <x:c r="C30" t="str">
        <x:v>Cheese</x:v>
      </x:c>
      <x:c r="D30" t="str">
        <x:v>2024-12-23</x:v>
      </x:c>
      <x:c r="E30" t="str">
        <x:v>2025-01-05</x:v>
      </x:c>
      <x:c r="F30" t="str">
        <x:v>2025-01-13</x:v>
      </x:c>
      <x:c r="G30" t="n">
        <x:v>30</x:v>
      </x:c>
      <x:c r="H30" t="n">
        <x:v>30</x:v>
      </x:c>
      <x:c r="I30" s="22" t="n">
        <x:v>165.3</x:v>
      </x:c>
      <x:c r="J30" t="str">
        <x:v>Received</x:v>
      </x:c>
      <x:c r="K30" t="n">
        <x:v>0</x:v>
      </x:c>
    </x:row>
    <x:row r="31" ht="18" customHeight="1">
      <x:c r="A31" t="str">
        <x:v>PO-000027</x:v>
      </x:c>
      <x:c r="B31" t="str">
        <x:v>Jaxnation</x:v>
      </x:c>
      <x:c r="C31" t="str">
        <x:v>Yogurt</x:v>
      </x:c>
      <x:c r="D31" t="str">
        <x:v>2024-06-10</x:v>
      </x:c>
      <x:c r="E31" t="str">
        <x:v>2024-06-27</x:v>
      </x:c>
      <x:c r="F31" t="str">
        <x:v>2024-06-24</x:v>
      </x:c>
      <x:c r="G31" t="n">
        <x:v>85</x:v>
      </x:c>
      <x:c r="H31" t="n">
        <x:v>66</x:v>
      </x:c>
      <x:c r="I31" s="22" t="n">
        <x:v>106.25</x:v>
      </x:c>
      <x:c r="J31" t="str">
        <x:v>Partial</x:v>
      </x:c>
      <x:c r="K31" t="n">
        <x:v>0</x:v>
      </x:c>
    </x:row>
    <x:row r="32" ht="18" customHeight="1">
      <x:c r="A32" t="str">
        <x:v>PO-000028</x:v>
      </x:c>
      <x:c r="B32" t="str">
        <x:v>Jaxnation</x:v>
      </x:c>
      <x:c r="C32" t="str">
        <x:v>Yogurt</x:v>
      </x:c>
      <x:c r="D32" t="str">
        <x:v>2024-06-19</x:v>
      </x:c>
      <x:c r="E32" t="str">
        <x:v>2024-06-26</x:v>
      </x:c>
      <x:c r="F32" t="str">
        <x:v>2024-06-24</x:v>
      </x:c>
      <x:c r="G32" t="n">
        <x:v>62</x:v>
      </x:c>
      <x:c r="H32" t="n">
        <x:v>51</x:v>
      </x:c>
      <x:c r="I32" s="22" t="n">
        <x:v>78.74</x:v>
      </x:c>
      <x:c r="J32" t="str">
        <x:v>Partial</x:v>
      </x:c>
      <x:c r="K32" t="n">
        <x:v>0</x:v>
      </x:c>
    </x:row>
    <x:row r="33" ht="18" customHeight="1">
      <x:c r="A33" t="str">
        <x:v>PO-000029</x:v>
      </x:c>
      <x:c r="B33" t="str">
        <x:v>Jaxnation</x:v>
      </x:c>
      <x:c r="C33" t="str">
        <x:v>Yogurt</x:v>
      </x:c>
      <x:c r="D33" t="str">
        <x:v>2024-11-25</x:v>
      </x:c>
      <x:c r="E33" t="str">
        <x:v>2024-12-08</x:v>
      </x:c>
      <x:c r="F33" t="str">
        <x:v>2024-12-08</x:v>
      </x:c>
      <x:c r="G33" t="n">
        <x:v>88</x:v>
      </x:c>
      <x:c r="H33" t="n">
        <x:v>88</x:v>
      </x:c>
      <x:c r="I33" s="22" t="n">
        <x:v>110</x:v>
      </x:c>
      <x:c r="J33" t="str">
        <x:v>Received</x:v>
      </x:c>
      <x:c r="K33" t="n">
        <x:v>1</x:v>
      </x:c>
    </x:row>
    <x:row r="34" ht="18" customHeight="1">
      <x:c r="A34" t="str">
        <x:v>PO-000030</x:v>
      </x:c>
      <x:c r="B34" t="str">
        <x:v>Gabcube</x:v>
      </x:c>
      <x:c r="C34" t="str">
        <x:v>Cheddar Cheese</x:v>
      </x:c>
      <x:c r="D34" t="str">
        <x:v>2024-03-31</x:v>
      </x:c>
      <x:c r="E34" t="str">
        <x:v>2024-04-16</x:v>
      </x:c>
      <x:c r="F34" t="str">
        <x:v>2024-04-24</x:v>
      </x:c>
      <x:c r="G34" t="n">
        <x:v>172</x:v>
      </x:c>
      <x:c r="H34" t="n">
        <x:v>172</x:v>
      </x:c>
      <x:c r="I34" s="22" t="n">
        <x:v>1191.96</x:v>
      </x:c>
      <x:c r="J34" t="str">
        <x:v>Received</x:v>
      </x:c>
      <x:c r="K34" t="n">
        <x:v>0</x:v>
      </x:c>
    </x:row>
    <x:row r="35" ht="18" customHeight="1">
      <x:c r="A35" t="str">
        <x:v>PO-000031</x:v>
      </x:c>
      <x:c r="B35" t="str">
        <x:v>Gabcube</x:v>
      </x:c>
      <x:c r="C35" t="str">
        <x:v>Cheddar Cheese</x:v>
      </x:c>
      <x:c r="D35" t="str">
        <x:v>2024-07-21</x:v>
      </x:c>
      <x:c r="E35" t="str">
        <x:v>2024-07-31</x:v>
      </x:c>
      <x:c r="F35" t="str">
        <x:v>2024-07-29</x:v>
      </x:c>
      <x:c r="G35" t="n">
        <x:v>147</x:v>
      </x:c>
      <x:c r="H35" t="n">
        <x:v>147</x:v>
      </x:c>
      <x:c r="I35" s="22" t="n">
        <x:v>1121.61</x:v>
      </x:c>
      <x:c r="J35" t="str">
        <x:v>Received</x:v>
      </x:c>
      <x:c r="K35" t="n">
        <x:v>1</x:v>
      </x:c>
    </x:row>
    <x:row r="36" ht="18" customHeight="1">
      <x:c r="A36" t="str">
        <x:v>PO-000032</x:v>
      </x:c>
      <x:c r="B36" t="str">
        <x:v>Dabtype</x:v>
      </x:c>
      <x:c r="C36" t="str">
        <x:v>Avocado Oil</x:v>
      </x:c>
      <x:c r="D36" t="str">
        <x:v>2024-05-31</x:v>
      </x:c>
      <x:c r="E36" t="str">
        <x:v>2024-06-08</x:v>
      </x:c>
      <x:c r="F36" t="str">
        <x:v>2024-06-07</x:v>
      </x:c>
      <x:c r="G36" t="n">
        <x:v>188</x:v>
      </x:c>
      <x:c r="H36" t="n">
        <x:v>123</x:v>
      </x:c>
      <x:c r="I36" s="22" t="n">
        <x:v>1393.08</x:v>
      </x:c>
      <x:c r="J36" t="str">
        <x:v>Partial</x:v>
      </x:c>
      <x:c r="K36" t="n">
        <x:v>0</x:v>
      </x:c>
    </x:row>
    <x:row r="37" ht="18" customHeight="1">
      <x:c r="A37" t="str">
        <x:v>PO-000033</x:v>
      </x:c>
      <x:c r="B37" t="str">
        <x:v>Dabtype</x:v>
      </x:c>
      <x:c r="C37" t="str">
        <x:v>Avocado Oil</x:v>
      </x:c>
      <x:c r="D37" t="str">
        <x:v>2024-10-26</x:v>
      </x:c>
      <x:c r="E37" t="str">
        <x:v>2024-11-12</x:v>
      </x:c>
      <x:c r="F37" t="str">
        <x:v>2024-11-10</x:v>
      </x:c>
      <x:c r="G37" t="n">
        <x:v>150</x:v>
      </x:c>
      <x:c r="H37" t="n">
        <x:v>150</x:v>
      </x:c>
      <x:c r="I37" s="22" t="n">
        <x:v>1041</x:v>
      </x:c>
      <x:c r="J37" t="str">
        <x:v>Received</x:v>
      </x:c>
      <x:c r="K37" t="n">
        <x:v>1</x:v>
      </x:c>
    </x:row>
    <x:row r="38" ht="18" customHeight="1">
      <x:c r="A38" t="str">
        <x:v>PO-000034</x:v>
      </x:c>
      <x:c r="B38" t="str">
        <x:v>Dabtype</x:v>
      </x:c>
      <x:c r="C38" t="str">
        <x:v>Avocado Oil</x:v>
      </x:c>
      <x:c r="D38" t="str">
        <x:v>2024-11-01</x:v>
      </x:c>
      <x:c r="E38" t="str">
        <x:v>2024-11-07</x:v>
      </x:c>
      <x:c r="F38" t="str">
        <x:v>2024-11-07</x:v>
      </x:c>
      <x:c r="G38" t="n">
        <x:v>102</x:v>
      </x:c>
      <x:c r="H38" t="n">
        <x:v>102</x:v>
      </x:c>
      <x:c r="I38" s="22" t="n">
        <x:v>723.18</x:v>
      </x:c>
      <x:c r="J38" t="str">
        <x:v>Received</x:v>
      </x:c>
      <x:c r="K38" t="n">
        <x:v>1</x:v>
      </x:c>
    </x:row>
    <x:row r="39" ht="18" customHeight="1">
      <x:c r="A39" t="str">
        <x:v>PO-000035</x:v>
      </x:c>
      <x:c r="B39" t="str">
        <x:v>Flashdog</x:v>
      </x:c>
      <x:c r="C39" t="str">
        <x:v>Orange</x:v>
      </x:c>
      <x:c r="D39" t="str">
        <x:v>2024-05-15</x:v>
      </x:c>
      <x:c r="E39" t="str">
        <x:v>2024-05-26</x:v>
      </x:c>
      <x:c r="F39" t="str"/>
      <x:c r="G39" t="n">
        <x:v>15</x:v>
      </x:c>
      <x:c r="H39" t="n">
        <x:v>0</x:v>
      </x:c>
      <x:c r="I39" s="22" t="n">
        <x:v>33.15</x:v>
      </x:c>
      <x:c r="J39" t="str">
        <x:v>Open</x:v>
      </x:c>
      <x:c r="K39" t="n">
        <x:v>0</x:v>
      </x:c>
    </x:row>
    <x:row r="40" ht="18" customHeight="1">
      <x:c r="A40" t="str">
        <x:v>PO-000036</x:v>
      </x:c>
      <x:c r="B40" t="str">
        <x:v>Flashdog</x:v>
      </x:c>
      <x:c r="C40" t="str">
        <x:v>Orange</x:v>
      </x:c>
      <x:c r="D40" t="str">
        <x:v>2024-09-01</x:v>
      </x:c>
      <x:c r="E40" t="str">
        <x:v>2024-09-05</x:v>
      </x:c>
      <x:c r="F40" t="str">
        <x:v>2024-09-04</x:v>
      </x:c>
      <x:c r="G40" t="n">
        <x:v>29</x:v>
      </x:c>
      <x:c r="H40" t="n">
        <x:v>29</x:v>
      </x:c>
      <x:c r="I40" s="22" t="n">
        <x:v>61.48</x:v>
      </x:c>
      <x:c r="J40" t="str">
        <x:v>Received</x:v>
      </x:c>
      <x:c r="K40" t="n">
        <x:v>1</x:v>
      </x:c>
    </x:row>
    <x:row r="41" ht="18" customHeight="1">
      <x:c r="A41" t="str">
        <x:v>PO-000037</x:v>
      </x:c>
      <x:c r="B41" t="str">
        <x:v>Flashdog</x:v>
      </x:c>
      <x:c r="C41" t="str">
        <x:v>Orange</x:v>
      </x:c>
      <x:c r="D41" t="str">
        <x:v>2024-09-29</x:v>
      </x:c>
      <x:c r="E41" t="str">
        <x:v>2024-10-04</x:v>
      </x:c>
      <x:c r="F41" t="str">
        <x:v>2024-10-06</x:v>
      </x:c>
      <x:c r="G41" t="n">
        <x:v>34</x:v>
      </x:c>
      <x:c r="H41" t="n">
        <x:v>21</x:v>
      </x:c>
      <x:c r="I41" s="22" t="n">
        <x:v>75.48</x:v>
      </x:c>
      <x:c r="J41" t="str">
        <x:v>Partial</x:v>
      </x:c>
      <x:c r="K41" t="n">
        <x:v>0</x:v>
      </x:c>
    </x:row>
    <x:row r="42" ht="18" customHeight="1">
      <x:c r="A42" t="str">
        <x:v>PO-000038</x:v>
      </x:c>
      <x:c r="B42" t="str">
        <x:v>Flashdog</x:v>
      </x:c>
      <x:c r="C42" t="str">
        <x:v>Orange</x:v>
      </x:c>
      <x:c r="D42" t="str">
        <x:v>2024-11-09</x:v>
      </x:c>
      <x:c r="E42" t="str">
        <x:v>2024-11-27</x:v>
      </x:c>
      <x:c r="F42" t="str">
        <x:v>2024-11-27</x:v>
      </x:c>
      <x:c r="G42" t="n">
        <x:v>18</x:v>
      </x:c>
      <x:c r="H42" t="n">
        <x:v>18</x:v>
      </x:c>
      <x:c r="I42" s="22" t="n">
        <x:v>37.98</x:v>
      </x:c>
      <x:c r="J42" t="str">
        <x:v>Received</x:v>
      </x:c>
      <x:c r="K42" t="n">
        <x:v>1</x:v>
      </x:c>
    </x:row>
    <x:row r="43" ht="18" customHeight="1">
      <x:c r="A43" t="str">
        <x:v>PO-000039</x:v>
      </x:c>
      <x:c r="B43" t="str">
        <x:v>Devshare</x:v>
      </x:c>
      <x:c r="C43" t="str">
        <x:v>Digestive Biscuit</x:v>
      </x:c>
      <x:c r="D43" t="str">
        <x:v>2024-05-17</x:v>
      </x:c>
      <x:c r="E43" t="str">
        <x:v>2024-05-30</x:v>
      </x:c>
      <x:c r="F43" t="str">
        <x:v>2024-06-04</x:v>
      </x:c>
      <x:c r="G43" t="n">
        <x:v>86</x:v>
      </x:c>
      <x:c r="H43" t="n">
        <x:v>86</x:v>
      </x:c>
      <x:c r="I43" s="22" t="n">
        <x:v>265.74</x:v>
      </x:c>
      <x:c r="J43" t="str">
        <x:v>Received</x:v>
      </x:c>
      <x:c r="K43" t="n">
        <x:v>0</x:v>
      </x:c>
    </x:row>
    <x:row r="44" ht="18" customHeight="1">
      <x:c r="A44" t="str">
        <x:v>PO-000040</x:v>
      </x:c>
      <x:c r="B44" t="str">
        <x:v>Devshare</x:v>
      </x:c>
      <x:c r="C44" t="str">
        <x:v>Digestive Biscuit</x:v>
      </x:c>
      <x:c r="D44" t="str">
        <x:v>2024-06-21</x:v>
      </x:c>
      <x:c r="E44" t="str">
        <x:v>2024-07-04</x:v>
      </x:c>
      <x:c r="F44" t="str">
        <x:v>2024-07-05</x:v>
      </x:c>
      <x:c r="G44" t="n">
        <x:v>117</x:v>
      </x:c>
      <x:c r="H44" t="n">
        <x:v>117</x:v>
      </x:c>
      <x:c r="I44" s="22" t="n">
        <x:v>359.19</x:v>
      </x:c>
      <x:c r="J44" t="str">
        <x:v>Received</x:v>
      </x:c>
      <x:c r="K44" t="n">
        <x:v>0</x:v>
      </x:c>
    </x:row>
    <x:row r="45" ht="18" customHeight="1">
      <x:c r="A45" t="str">
        <x:v>PO-000041</x:v>
      </x:c>
      <x:c r="B45" t="str">
        <x:v>Cogilith</x:v>
      </x:c>
      <x:c r="C45" t="str">
        <x:v>Cauliflower</x:v>
      </x:c>
      <x:c r="D45" t="str">
        <x:v>2024-04-29</x:v>
      </x:c>
      <x:c r="E45" t="str">
        <x:v>2024-05-15</x:v>
      </x:c>
      <x:c r="F45" t="str">
        <x:v>2024-05-14</x:v>
      </x:c>
      <x:c r="G45" t="n">
        <x:v>33</x:v>
      </x:c>
      <x:c r="H45" t="n">
        <x:v>33</x:v>
      </x:c>
      <x:c r="I45" s="22" t="n">
        <x:v>68.64</x:v>
      </x:c>
      <x:c r="J45" t="str">
        <x:v>Received</x:v>
      </x:c>
      <x:c r="K45" t="n">
        <x:v>1</x:v>
      </x:c>
    </x:row>
    <x:row r="46" ht="18" customHeight="1">
      <x:c r="A46" t="str">
        <x:v>PO-000042</x:v>
      </x:c>
      <x:c r="B46" t="str">
        <x:v>Cogilith</x:v>
      </x:c>
      <x:c r="C46" t="str">
        <x:v>Cauliflower</x:v>
      </x:c>
      <x:c r="D46" t="str">
        <x:v>2024-05-28</x:v>
      </x:c>
      <x:c r="E46" t="str">
        <x:v>2024-06-13</x:v>
      </x:c>
      <x:c r="F46" t="str">
        <x:v>2024-06-10</x:v>
      </x:c>
      <x:c r="G46" t="n">
        <x:v>45</x:v>
      </x:c>
      <x:c r="H46" t="n">
        <x:v>45</x:v>
      </x:c>
      <x:c r="I46" s="22" t="n">
        <x:v>85.95</x:v>
      </x:c>
      <x:c r="J46" t="str">
        <x:v>Received</x:v>
      </x:c>
      <x:c r="K46" t="n">
        <x:v>1</x:v>
      </x:c>
    </x:row>
    <x:row r="47" ht="18" customHeight="1">
      <x:c r="A47" t="str">
        <x:v>PO-000043</x:v>
      </x:c>
      <x:c r="B47" t="str">
        <x:v>Cogilith</x:v>
      </x:c>
      <x:c r="C47" t="str">
        <x:v>Cauliflower</x:v>
      </x:c>
      <x:c r="D47" t="str">
        <x:v>2024-07-01</x:v>
      </x:c>
      <x:c r="E47" t="str">
        <x:v>2024-07-07</x:v>
      </x:c>
      <x:c r="F47" t="str">
        <x:v>2024-07-04</x:v>
      </x:c>
      <x:c r="G47" t="n">
        <x:v>24</x:v>
      </x:c>
      <x:c r="H47" t="n">
        <x:v>24</x:v>
      </x:c>
      <x:c r="I47" s="22" t="n">
        <x:v>48.72</x:v>
      </x:c>
      <x:c r="J47" t="str">
        <x:v>Received</x:v>
      </x:c>
      <x:c r="K47" t="n">
        <x:v>1</x:v>
      </x:c>
    </x:row>
    <x:row r="48" ht="18" customHeight="1">
      <x:c r="A48" t="str">
        <x:v>PO-000044</x:v>
      </x:c>
      <x:c r="B48" t="str">
        <x:v>Roodel</x:v>
      </x:c>
      <x:c r="C48" t="str">
        <x:v>Pear</x:v>
      </x:c>
      <x:c r="D48" t="str">
        <x:v>2024-10-03</x:v>
      </x:c>
      <x:c r="E48" t="str">
        <x:v>2024-10-09</x:v>
      </x:c>
      <x:c r="F48" t="str">
        <x:v>2024-10-10</x:v>
      </x:c>
      <x:c r="G48" t="n">
        <x:v>121</x:v>
      </x:c>
      <x:c r="H48" t="n">
        <x:v>121</x:v>
      </x:c>
      <x:c r="I48" s="22" t="n">
        <x:v>369.05</x:v>
      </x:c>
      <x:c r="J48" t="str">
        <x:v>Received</x:v>
      </x:c>
      <x:c r="K48" t="n">
        <x:v>0</x:v>
      </x:c>
    </x:row>
    <x:row r="49" ht="18" customHeight="1">
      <x:c r="A49" t="str">
        <x:v>PO-000045</x:v>
      </x:c>
      <x:c r="B49" t="str">
        <x:v>Roodel</x:v>
      </x:c>
      <x:c r="C49" t="str">
        <x:v>Pear</x:v>
      </x:c>
      <x:c r="D49" t="str">
        <x:v>2024-11-11</x:v>
      </x:c>
      <x:c r="E49" t="str">
        <x:v>2024-11-24</x:v>
      </x:c>
      <x:c r="F49" t="str">
        <x:v>2024-11-23</x:v>
      </x:c>
      <x:c r="G49" t="n">
        <x:v>101</x:v>
      </x:c>
      <x:c r="H49" t="n">
        <x:v>70</x:v>
      </x:c>
      <x:c r="I49" s="22" t="n">
        <x:v>314.11</x:v>
      </x:c>
      <x:c r="J49" t="str">
        <x:v>Partial</x:v>
      </x:c>
      <x:c r="K49" t="n">
        <x:v>0</x:v>
      </x:c>
    </x:row>
    <x:row r="50" ht="18" customHeight="1">
      <x:c r="A50" t="str">
        <x:v>PO-000046</x:v>
      </x:c>
      <x:c r="B50" t="str">
        <x:v>Bluezoom</x:v>
      </x:c>
      <x:c r="C50" t="str">
        <x:v>Egg (Turkey)</x:v>
      </x:c>
      <x:c r="D50" t="str">
        <x:v>2024-08-08</x:v>
      </x:c>
      <x:c r="E50" t="str">
        <x:v>2024-08-26</x:v>
      </x:c>
      <x:c r="F50" t="str">
        <x:v>2024-08-25</x:v>
      </x:c>
      <x:c r="G50" t="n">
        <x:v>133</x:v>
      </x:c>
      <x:c r="H50" t="n">
        <x:v>118</x:v>
      </x:c>
      <x:c r="I50" s="22" t="n">
        <x:v>211.47</x:v>
      </x:c>
      <x:c r="J50" t="str">
        <x:v>Partial</x:v>
      </x:c>
      <x:c r="K50" t="n">
        <x:v>0</x:v>
      </x:c>
    </x:row>
    <x:row r="51" ht="18" customHeight="1">
      <x:c r="A51" t="str">
        <x:v>PO-000047</x:v>
      </x:c>
      <x:c r="B51" t="str">
        <x:v>Bluezoom</x:v>
      </x:c>
      <x:c r="C51" t="str">
        <x:v>Egg (Turkey)</x:v>
      </x:c>
      <x:c r="D51" t="str">
        <x:v>2024-09-27</x:v>
      </x:c>
      <x:c r="E51" t="str">
        <x:v>2024-10-12</x:v>
      </x:c>
      <x:c r="F51" t="str">
        <x:v>2024-10-21</x:v>
      </x:c>
      <x:c r="G51" t="n">
        <x:v>99</x:v>
      </x:c>
      <x:c r="H51" t="n">
        <x:v>99</x:v>
      </x:c>
      <x:c r="I51" s="22" t="n">
        <x:v>148.5</x:v>
      </x:c>
      <x:c r="J51" t="str">
        <x:v>Received</x:v>
      </x:c>
      <x:c r="K51" t="n">
        <x:v>0</x:v>
      </x:c>
    </x:row>
    <x:row r="52" ht="18" customHeight="1">
      <x:c r="A52" t="str">
        <x:v>PO-000048</x:v>
      </x:c>
      <x:c r="B52" t="str">
        <x:v>Skimia</x:v>
      </x:c>
      <x:c r="C52" t="str">
        <x:v>Ricotta Cheese</x:v>
      </x:c>
      <x:c r="D52" t="str">
        <x:v>2024-07-16</x:v>
      </x:c>
      <x:c r="E52" t="str">
        <x:v>2024-07-24</x:v>
      </x:c>
      <x:c r="F52" t="str">
        <x:v>2024-07-22</x:v>
      </x:c>
      <x:c r="G52" t="n">
        <x:v>38</x:v>
      </x:c>
      <x:c r="H52" t="n">
        <x:v>38</x:v>
      </x:c>
      <x:c r="I52" s="22" t="n">
        <x:v>144.02</x:v>
      </x:c>
      <x:c r="J52" t="str">
        <x:v>Received</x:v>
      </x:c>
      <x:c r="K52" t="n">
        <x:v>1</x:v>
      </x:c>
    </x:row>
    <x:row r="53" ht="18" customHeight="1">
      <x:c r="A53" t="str">
        <x:v>PO-000049</x:v>
      </x:c>
      <x:c r="B53" t="str">
        <x:v>Skimia</x:v>
      </x:c>
      <x:c r="C53" t="str">
        <x:v>Ricotta Cheese</x:v>
      </x:c>
      <x:c r="D53" t="str">
        <x:v>2024-10-08</x:v>
      </x:c>
      <x:c r="E53" t="str">
        <x:v>2024-10-18</x:v>
      </x:c>
      <x:c r="F53" t="str">
        <x:v>2024-10-17</x:v>
      </x:c>
      <x:c r="G53" t="n">
        <x:v>33</x:v>
      </x:c>
      <x:c r="H53" t="n">
        <x:v>33</x:v>
      </x:c>
      <x:c r="I53" s="22" t="n">
        <x:v>120.45</x:v>
      </x:c>
      <x:c r="J53" t="str">
        <x:v>Received</x:v>
      </x:c>
      <x:c r="K53" t="n">
        <x:v>1</x:v>
      </x:c>
    </x:row>
    <x:row r="54" ht="18" customHeight="1">
      <x:c r="A54" t="str">
        <x:v>PO-000050</x:v>
      </x:c>
      <x:c r="B54" t="str">
        <x:v>Skimia</x:v>
      </x:c>
      <x:c r="C54" t="str">
        <x:v>Ricotta Cheese</x:v>
      </x:c>
      <x:c r="D54" t="str">
        <x:v>2024-10-16</x:v>
      </x:c>
      <x:c r="E54" t="str">
        <x:v>2024-11-01</x:v>
      </x:c>
      <x:c r="F54" t="str">
        <x:v>2024-10-31</x:v>
      </x:c>
      <x:c r="G54" t="n">
        <x:v>30</x:v>
      </x:c>
      <x:c r="H54" t="n">
        <x:v>30</x:v>
      </x:c>
      <x:c r="I54" s="22" t="n">
        <x:v>114.3</x:v>
      </x:c>
      <x:c r="J54" t="str">
        <x:v>Received</x:v>
      </x:c>
      <x:c r="K54" t="n">
        <x:v>1</x:v>
      </x:c>
    </x:row>
    <x:row r="55" ht="18" customHeight="1">
      <x:c r="A55" t="str">
        <x:v>PO-000051</x:v>
      </x:c>
      <x:c r="B55" t="str">
        <x:v>Blogpad</x:v>
      </x:c>
      <x:c r="C55" t="str">
        <x:v>Eggplant</x:v>
      </x:c>
      <x:c r="D55" t="str">
        <x:v>2024-03-28</x:v>
      </x:c>
      <x:c r="E55" t="str">
        <x:v>2024-04-14</x:v>
      </x:c>
      <x:c r="F55" t="str">
        <x:v>2024-04-13</x:v>
      </x:c>
      <x:c r="G55" t="n">
        <x:v>14</x:v>
      </x:c>
      <x:c r="H55" t="n">
        <x:v>14</x:v>
      </x:c>
      <x:c r="I55" s="22" t="n">
        <x:v>30.8</x:v>
      </x:c>
      <x:c r="J55" t="str">
        <x:v>Received</x:v>
      </x:c>
      <x:c r="K55" t="n">
        <x:v>1</x:v>
      </x:c>
    </x:row>
    <x:row r="56" ht="18" customHeight="1">
      <x:c r="A56" t="str">
        <x:v>PO-000052</x:v>
      </x:c>
      <x:c r="B56" t="str">
        <x:v>Blogpad</x:v>
      </x:c>
      <x:c r="C56" t="str">
        <x:v>Eggplant</x:v>
      </x:c>
      <x:c r="D56" t="str">
        <x:v>2025-01-28</x:v>
      </x:c>
      <x:c r="E56" t="str">
        <x:v>2025-02-07</x:v>
      </x:c>
      <x:c r="F56" t="str">
        <x:v>2025-02-05</x:v>
      </x:c>
      <x:c r="G56" t="n">
        <x:v>10</x:v>
      </x:c>
      <x:c r="H56" t="n">
        <x:v>10</x:v>
      </x:c>
      <x:c r="I56" s="22" t="n">
        <x:v>20.7</x:v>
      </x:c>
      <x:c r="J56" t="str">
        <x:v>Received</x:v>
      </x:c>
      <x:c r="K56" t="n">
        <x:v>1</x:v>
      </x:c>
    </x:row>
    <x:row r="57" ht="18" customHeight="1">
      <x:c r="A57" t="str">
        <x:v>PO-000053</x:v>
      </x:c>
      <x:c r="B57" t="str">
        <x:v>Dabjam</x:v>
      </x:c>
      <x:c r="C57" t="str">
        <x:v>Whole Wheat Flour</x:v>
      </x:c>
      <x:c r="D57" t="str">
        <x:v>2024-06-29</x:v>
      </x:c>
      <x:c r="E57" t="str">
        <x:v>2024-07-15</x:v>
      </x:c>
      <x:c r="F57" t="str">
        <x:v>2024-07-14</x:v>
      </x:c>
      <x:c r="G57" t="n">
        <x:v>20</x:v>
      </x:c>
      <x:c r="H57" t="n">
        <x:v>20</x:v>
      </x:c>
      <x:c r="I57" s="22" t="n">
        <x:v>33.4</x:v>
      </x:c>
      <x:c r="J57" t="str">
        <x:v>Received</x:v>
      </x:c>
      <x:c r="K57" t="n">
        <x:v>1</x:v>
      </x:c>
    </x:row>
    <x:row r="58" ht="18" customHeight="1">
      <x:c r="A58" t="str">
        <x:v>PO-000054</x:v>
      </x:c>
      <x:c r="B58" t="str">
        <x:v>Dabjam</x:v>
      </x:c>
      <x:c r="C58" t="str">
        <x:v>Whole Wheat Flour</x:v>
      </x:c>
      <x:c r="D58" t="str">
        <x:v>2024-08-24</x:v>
      </x:c>
      <x:c r="E58" t="str">
        <x:v>2024-08-30</x:v>
      </x:c>
      <x:c r="F58" t="str">
        <x:v>2024-08-27</x:v>
      </x:c>
      <x:c r="G58" t="n">
        <x:v>27</x:v>
      </x:c>
      <x:c r="H58" t="n">
        <x:v>27</x:v>
      </x:c>
      <x:c r="I58" s="22" t="n">
        <x:v>45.9</x:v>
      </x:c>
      <x:c r="J58" t="str">
        <x:v>Received</x:v>
      </x:c>
      <x:c r="K58" t="n">
        <x:v>1</x:v>
      </x:c>
    </x:row>
    <x:row r="59" ht="18" customHeight="1">
      <x:c r="A59" t="str">
        <x:v>PO-000055</x:v>
      </x:c>
      <x:c r="B59" t="str">
        <x:v>Feedmix</x:v>
      </x:c>
      <x:c r="C59" t="str">
        <x:v>Arabica Coffee</x:v>
      </x:c>
      <x:c r="D59" t="str">
        <x:v>2024-05-20</x:v>
      </x:c>
      <x:c r="E59" t="str">
        <x:v>2024-05-28</x:v>
      </x:c>
      <x:c r="F59" t="str"/>
      <x:c r="G59" t="n">
        <x:v>3</x:v>
      </x:c>
      <x:c r="H59" t="n">
        <x:v>0</x:v>
      </x:c>
      <x:c r="I59" s="22" t="n">
        <x:v>35.94</x:v>
      </x:c>
      <x:c r="J59" t="str">
        <x:v>Open</x:v>
      </x:c>
      <x:c r="K59" t="n">
        <x:v>0</x:v>
      </x:c>
    </x:row>
    <x:row r="60" ht="18" customHeight="1">
      <x:c r="A60" t="str">
        <x:v>PO-000056</x:v>
      </x:c>
      <x:c r="B60" t="str">
        <x:v>Feedmix</x:v>
      </x:c>
      <x:c r="C60" t="str">
        <x:v>Arabica Coffee</x:v>
      </x:c>
      <x:c r="D60" t="str">
        <x:v>2024-10-04</x:v>
      </x:c>
      <x:c r="E60" t="str">
        <x:v>2024-10-18</x:v>
      </x:c>
      <x:c r="F60" t="str">
        <x:v>2024-10-16</x:v>
      </x:c>
      <x:c r="G60" t="n">
        <x:v>3</x:v>
      </x:c>
      <x:c r="H60" t="n">
        <x:v>3</x:v>
      </x:c>
      <x:c r="I60" s="22" t="n">
        <x:v>37.5</x:v>
      </x:c>
      <x:c r="J60" t="str">
        <x:v>Received</x:v>
      </x:c>
      <x:c r="K60" t="n">
        <x:v>1</x:v>
      </x:c>
    </x:row>
    <x:row r="61" ht="18" customHeight="1">
      <x:c r="A61" t="str">
        <x:v>PO-000057</x:v>
      </x:c>
      <x:c r="B61" t="str">
        <x:v>Feedmix</x:v>
      </x:c>
      <x:c r="C61" t="str">
        <x:v>Arabica Coffee</x:v>
      </x:c>
      <x:c r="D61" t="str">
        <x:v>2024-10-22</x:v>
      </x:c>
      <x:c r="E61" t="str">
        <x:v>2024-11-06</x:v>
      </x:c>
      <x:c r="F61" t="str">
        <x:v>2024-11-03</x:v>
      </x:c>
      <x:c r="G61" t="n">
        <x:v>2</x:v>
      </x:c>
      <x:c r="H61" t="n">
        <x:v>2</x:v>
      </x:c>
      <x:c r="I61" s="22" t="n">
        <x:v>24.16</x:v>
      </x:c>
      <x:c r="J61" t="str">
        <x:v>Received</x:v>
      </x:c>
      <x:c r="K61" t="n">
        <x:v>1</x:v>
      </x:c>
    </x:row>
    <x:row r="62" ht="18" customHeight="1">
      <x:c r="A62" t="str">
        <x:v>PO-000058</x:v>
      </x:c>
      <x:c r="B62" t="str">
        <x:v>Feedmix</x:v>
      </x:c>
      <x:c r="C62" t="str">
        <x:v>Arabica Coffee</x:v>
      </x:c>
      <x:c r="D62" t="str">
        <x:v>2025-02-06</x:v>
      </x:c>
      <x:c r="E62" t="str">
        <x:v>2025-02-15</x:v>
      </x:c>
      <x:c r="F62" t="str">
        <x:v>2025-02-12</x:v>
      </x:c>
      <x:c r="G62" t="n">
        <x:v>3</x:v>
      </x:c>
      <x:c r="H62" t="n">
        <x:v>3</x:v>
      </x:c>
      <x:c r="I62" s="22" t="n">
        <x:v>36.12</x:v>
      </x:c>
      <x:c r="J62" t="str">
        <x:v>Received</x:v>
      </x:c>
      <x:c r="K62" t="n">
        <x:v>1</x:v>
      </x:c>
    </x:row>
    <x:row r="63" ht="18" customHeight="1">
      <x:c r="A63" t="str">
        <x:v>PO-000059</x:v>
      </x:c>
      <x:c r="B63" t="str">
        <x:v>Trupe</x:v>
      </x:c>
      <x:c r="C63" t="str">
        <x:v>Sweet Potato</x:v>
      </x:c>
      <x:c r="D63" t="str">
        <x:v>2024-03-08</x:v>
      </x:c>
      <x:c r="E63" t="str">
        <x:v>2024-03-24</x:v>
      </x:c>
      <x:c r="F63" t="str">
        <x:v>2024-03-23</x:v>
      </x:c>
      <x:c r="G63" t="n">
        <x:v>35</x:v>
      </x:c>
      <x:c r="H63" t="n">
        <x:v>35</x:v>
      </x:c>
      <x:c r="I63" s="22" t="n">
        <x:v>48.3</x:v>
      </x:c>
      <x:c r="J63" t="str">
        <x:v>Received</x:v>
      </x:c>
      <x:c r="K63" t="n">
        <x:v>1</x:v>
      </x:c>
    </x:row>
    <x:row r="64" ht="18" customHeight="1">
      <x:c r="A64" t="str">
        <x:v>PO-000060</x:v>
      </x:c>
      <x:c r="B64" t="str">
        <x:v>Trupe</x:v>
      </x:c>
      <x:c r="C64" t="str">
        <x:v>Sweet Potato</x:v>
      </x:c>
      <x:c r="D64" t="str">
        <x:v>2024-07-09</x:v>
      </x:c>
      <x:c r="E64" t="str">
        <x:v>2024-07-26</x:v>
      </x:c>
      <x:c r="F64" t="str">
        <x:v>2024-07-25</x:v>
      </x:c>
      <x:c r="G64" t="n">
        <x:v>55</x:v>
      </x:c>
      <x:c r="H64" t="n">
        <x:v>55</x:v>
      </x:c>
      <x:c r="I64" s="22" t="n">
        <x:v>78.1</x:v>
      </x:c>
      <x:c r="J64" t="str">
        <x:v>Received</x:v>
      </x:c>
      <x:c r="K64" t="n">
        <x:v>1</x:v>
      </x:c>
    </x:row>
    <x:row r="65" ht="18" customHeight="1">
      <x:c r="A65" t="str">
        <x:v>PO-000061</x:v>
      </x:c>
      <x:c r="B65" t="str">
        <x:v>Trupe</x:v>
      </x:c>
      <x:c r="C65" t="str">
        <x:v>Sweet Potato</x:v>
      </x:c>
      <x:c r="D65" t="str">
        <x:v>2025-01-28</x:v>
      </x:c>
      <x:c r="E65" t="str">
        <x:v>2025-02-02</x:v>
      </x:c>
      <x:c r="F65" t="str">
        <x:v>2025-01-31</x:v>
      </x:c>
      <x:c r="G65" t="n">
        <x:v>34</x:v>
      </x:c>
      <x:c r="H65" t="n">
        <x:v>34</x:v>
      </x:c>
      <x:c r="I65" s="22" t="n">
        <x:v>46.58</x:v>
      </x:c>
      <x:c r="J65" t="str">
        <x:v>Received</x:v>
      </x:c>
      <x:c r="K65" t="n">
        <x:v>1</x:v>
      </x:c>
    </x:row>
    <x:row r="66" ht="18" customHeight="1">
      <x:c r="A66" t="str">
        <x:v>PO-000062</x:v>
      </x:c>
      <x:c r="B66" t="str">
        <x:v>Meevee</x:v>
      </x:c>
      <x:c r="C66" t="str">
        <x:v>Mango</x:v>
      </x:c>
      <x:c r="D66" t="str">
        <x:v>2024-03-04</x:v>
      </x:c>
      <x:c r="E66" t="str">
        <x:v>2024-03-16</x:v>
      </x:c>
      <x:c r="F66" t="str">
        <x:v>2024-03-20</x:v>
      </x:c>
      <x:c r="G66" t="n">
        <x:v>73</x:v>
      </x:c>
      <x:c r="H66" t="n">
        <x:v>73</x:v>
      </x:c>
      <x:c r="I66" s="22" t="n">
        <x:v>219.73</x:v>
      </x:c>
      <x:c r="J66" t="str">
        <x:v>Received</x:v>
      </x:c>
      <x:c r="K66" t="n">
        <x:v>0</x:v>
      </x:c>
    </x:row>
    <x:row r="67" ht="18" customHeight="1">
      <x:c r="A67" t="str">
        <x:v>PO-000063</x:v>
      </x:c>
      <x:c r="B67" t="str">
        <x:v>Meevee</x:v>
      </x:c>
      <x:c r="C67" t="str">
        <x:v>Mango</x:v>
      </x:c>
      <x:c r="D67" t="str">
        <x:v>2024-09-24</x:v>
      </x:c>
      <x:c r="E67" t="str">
        <x:v>2024-10-04</x:v>
      </x:c>
      <x:c r="F67" t="str">
        <x:v>2024-10-03</x:v>
      </x:c>
      <x:c r="G67" t="n">
        <x:v>54</x:v>
      </x:c>
      <x:c r="H67" t="n">
        <x:v>54</x:v>
      </x:c>
      <x:c r="I67" s="22" t="n">
        <x:v>171.72</x:v>
      </x:c>
      <x:c r="J67" t="str">
        <x:v>Received</x:v>
      </x:c>
      <x:c r="K67" t="n">
        <x:v>1</x:v>
      </x:c>
    </x:row>
    <x:row r="68" ht="18" customHeight="1">
      <x:c r="A68" t="str">
        <x:v>PO-000064</x:v>
      </x:c>
      <x:c r="B68" t="str">
        <x:v>Meevee</x:v>
      </x:c>
      <x:c r="C68" t="str">
        <x:v>Mango</x:v>
      </x:c>
      <x:c r="D68" t="str">
        <x:v>2024-11-27</x:v>
      </x:c>
      <x:c r="E68" t="str">
        <x:v>2024-12-08</x:v>
      </x:c>
      <x:c r="F68" t="str"/>
      <x:c r="G68" t="n">
        <x:v>75</x:v>
      </x:c>
      <x:c r="H68" t="n">
        <x:v>0</x:v>
      </x:c>
      <x:c r="I68" s="22" t="n">
        <x:v>234</x:v>
      </x:c>
      <x:c r="J68" t="str">
        <x:v>Open</x:v>
      </x:c>
      <x:c r="K68" t="n">
        <x:v>0</x:v>
      </x:c>
    </x:row>
    <x:row r="69" ht="18" customHeight="1">
      <x:c r="A69" t="str">
        <x:v>PO-000065</x:v>
      </x:c>
      <x:c r="B69" t="str">
        <x:v>Meevee</x:v>
      </x:c>
      <x:c r="C69" t="str">
        <x:v>Mango</x:v>
      </x:c>
      <x:c r="D69" t="str">
        <x:v>2024-12-27</x:v>
      </x:c>
      <x:c r="E69" t="str">
        <x:v>2025-01-09</x:v>
      </x:c>
      <x:c r="F69" t="str">
        <x:v>2025-01-08</x:v>
      </x:c>
      <x:c r="G69" t="n">
        <x:v>100</x:v>
      </x:c>
      <x:c r="H69" t="n">
        <x:v>81</x:v>
      </x:c>
      <x:c r="I69" s="22" t="n">
        <x:v>331</x:v>
      </x:c>
      <x:c r="J69" t="str">
        <x:v>Partial</x:v>
      </x:c>
      <x:c r="K69" t="n">
        <x:v>0</x:v>
      </x:c>
    </x:row>
    <x:row r="70" ht="18" customHeight="1">
      <x:c r="A70" t="str">
        <x:v>PO-000066</x:v>
      </x:c>
      <x:c r="B70" t="str">
        <x:v>Blogpad</x:v>
      </x:c>
      <x:c r="C70" t="str">
        <x:v>Kale</x:v>
      </x:c>
      <x:c r="D70" t="str">
        <x:v>2024-03-26</x:v>
      </x:c>
      <x:c r="E70" t="str">
        <x:v>2024-03-30</x:v>
      </x:c>
      <x:c r="F70" t="str">
        <x:v>2024-03-29</x:v>
      </x:c>
      <x:c r="G70" t="n">
        <x:v>105</x:v>
      </x:c>
      <x:c r="H70" t="n">
        <x:v>105</x:v>
      </x:c>
      <x:c r="I70" s="22" t="n">
        <x:v>292.95</x:v>
      </x:c>
      <x:c r="J70" t="str">
        <x:v>Received</x:v>
      </x:c>
      <x:c r="K70" t="n">
        <x:v>1</x:v>
      </x:c>
    </x:row>
    <x:row r="71" ht="18" customHeight="1">
      <x:c r="A71" t="str">
        <x:v>PO-000067</x:v>
      </x:c>
      <x:c r="B71" t="str">
        <x:v>Blogpad</x:v>
      </x:c>
      <x:c r="C71" t="str">
        <x:v>Kale</x:v>
      </x:c>
      <x:c r="D71" t="str">
        <x:v>2024-04-15</x:v>
      </x:c>
      <x:c r="E71" t="str">
        <x:v>2024-04-22</x:v>
      </x:c>
      <x:c r="F71" t="str">
        <x:v>2024-04-19</x:v>
      </x:c>
      <x:c r="G71" t="n">
        <x:v>92</x:v>
      </x:c>
      <x:c r="H71" t="n">
        <x:v>92</x:v>
      </x:c>
      <x:c r="I71" s="22" t="n">
        <x:v>255.76</x:v>
      </x:c>
      <x:c r="J71" t="str">
        <x:v>Received</x:v>
      </x:c>
      <x:c r="K71" t="n">
        <x:v>1</x:v>
      </x:c>
    </x:row>
    <x:row r="72" ht="18" customHeight="1">
      <x:c r="A72" t="str">
        <x:v>PO-000068</x:v>
      </x:c>
      <x:c r="B72" t="str">
        <x:v>Blogpad</x:v>
      </x:c>
      <x:c r="C72" t="str">
        <x:v>Kale</x:v>
      </x:c>
      <x:c r="D72" t="str">
        <x:v>2024-08-19</x:v>
      </x:c>
      <x:c r="E72" t="str">
        <x:v>2024-09-04</x:v>
      </x:c>
      <x:c r="F72" t="str">
        <x:v>2024-09-04</x:v>
      </x:c>
      <x:c r="G72" t="n">
        <x:v>92</x:v>
      </x:c>
      <x:c r="H72" t="n">
        <x:v>92</x:v>
      </x:c>
      <x:c r="I72" s="22" t="n">
        <x:v>253</x:v>
      </x:c>
      <x:c r="J72" t="str">
        <x:v>Received</x:v>
      </x:c>
      <x:c r="K72" t="n">
        <x:v>1</x:v>
      </x:c>
    </x:row>
    <x:row r="73" ht="18" customHeight="1">
      <x:c r="A73" t="str">
        <x:v>PO-000069</x:v>
      </x:c>
      <x:c r="B73" t="str">
        <x:v>Blogpad</x:v>
      </x:c>
      <x:c r="C73" t="str">
        <x:v>Kale</x:v>
      </x:c>
      <x:c r="D73" t="str">
        <x:v>2024-09-18</x:v>
      </x:c>
      <x:c r="E73" t="str">
        <x:v>2024-09-23</x:v>
      </x:c>
      <x:c r="F73" t="str"/>
      <x:c r="G73" t="n">
        <x:v>120</x:v>
      </x:c>
      <x:c r="H73" t="n">
        <x:v>0</x:v>
      </x:c>
      <x:c r="I73" s="22" t="n">
        <x:v>332.4</x:v>
      </x:c>
      <x:c r="J73" t="str">
        <x:v>Open</x:v>
      </x:c>
      <x:c r="K73" t="n">
        <x:v>0</x:v>
      </x:c>
    </x:row>
    <x:row r="74" ht="18" customHeight="1">
      <x:c r="A74" t="str">
        <x:v>PO-000070</x:v>
      </x:c>
      <x:c r="B74" t="str">
        <x:v>Topicware</x:v>
      </x:c>
      <x:c r="C74" t="str">
        <x:v>Jasmine Rice</x:v>
      </x:c>
      <x:c r="D74" t="str">
        <x:v>2024-05-26</x:v>
      </x:c>
      <x:c r="E74" t="str">
        <x:v>2024-06-08</x:v>
      </x:c>
      <x:c r="F74" t="str"/>
      <x:c r="G74" t="n">
        <x:v>4</x:v>
      </x:c>
      <x:c r="H74" t="n">
        <x:v>0</x:v>
      </x:c>
      <x:c r="I74" s="22" t="n">
        <x:v>15.16</x:v>
      </x:c>
      <x:c r="J74" t="str">
        <x:v>Open</x:v>
      </x:c>
      <x:c r="K74" t="n">
        <x:v>0</x:v>
      </x:c>
    </x:row>
    <x:row r="75" ht="18" customHeight="1">
      <x:c r="A75" t="str">
        <x:v>PO-000071</x:v>
      </x:c>
      <x:c r="B75" t="str">
        <x:v>Topicware</x:v>
      </x:c>
      <x:c r="C75" t="str">
        <x:v>Jasmine Rice</x:v>
      </x:c>
      <x:c r="D75" t="str">
        <x:v>2025-02-08</x:v>
      </x:c>
      <x:c r="E75" t="str">
        <x:v>2025-02-18</x:v>
      </x:c>
      <x:c r="F75" t="str">
        <x:v>2025-02-15</x:v>
      </x:c>
      <x:c r="G75" t="n">
        <x:v>4</x:v>
      </x:c>
      <x:c r="H75" t="n">
        <x:v>4</x:v>
      </x:c>
      <x:c r="I75" s="22" t="n">
        <x:v>14.32</x:v>
      </x:c>
      <x:c r="J75" t="str">
        <x:v>Received</x:v>
      </x:c>
      <x:c r="K75" t="n">
        <x:v>1</x:v>
      </x:c>
    </x:row>
    <x:row r="76" ht="18" customHeight="1">
      <x:c r="A76" t="str">
        <x:v>PO-000072</x:v>
      </x:c>
      <x:c r="B76" t="str">
        <x:v>Plajo</x:v>
      </x:c>
      <x:c r="C76" t="str">
        <x:v>Sourdough Bread</x:v>
      </x:c>
      <x:c r="D76" t="str">
        <x:v>2024-03-13</x:v>
      </x:c>
      <x:c r="E76" t="str">
        <x:v>2024-03-29</x:v>
      </x:c>
      <x:c r="F76" t="str">
        <x:v>2024-03-26</x:v>
      </x:c>
      <x:c r="G76" t="n">
        <x:v>79</x:v>
      </x:c>
      <x:c r="H76" t="n">
        <x:v>79</x:v>
      </x:c>
      <x:c r="I76" s="22" t="n">
        <x:v>245.69</x:v>
      </x:c>
      <x:c r="J76" t="str">
        <x:v>Received</x:v>
      </x:c>
      <x:c r="K76" t="n">
        <x:v>1</x:v>
      </x:c>
    </x:row>
    <x:row r="77" ht="18" customHeight="1">
      <x:c r="A77" t="str">
        <x:v>PO-000073</x:v>
      </x:c>
      <x:c r="B77" t="str">
        <x:v>Plajo</x:v>
      </x:c>
      <x:c r="C77" t="str">
        <x:v>Sourdough Bread</x:v>
      </x:c>
      <x:c r="D77" t="str">
        <x:v>2024-09-13</x:v>
      </x:c>
      <x:c r="E77" t="str">
        <x:v>2024-09-29</x:v>
      </x:c>
      <x:c r="F77" t="str">
        <x:v>2024-09-26</x:v>
      </x:c>
      <x:c r="G77" t="n">
        <x:v>44</x:v>
      </x:c>
      <x:c r="H77" t="n">
        <x:v>44</x:v>
      </x:c>
      <x:c r="I77" s="22" t="n">
        <x:v>143</x:v>
      </x:c>
      <x:c r="J77" t="str">
        <x:v>Received</x:v>
      </x:c>
      <x:c r="K77" t="n">
        <x:v>1</x:v>
      </x:c>
    </x:row>
    <x:row r="78" ht="18" customHeight="1">
      <x:c r="A78" t="str">
        <x:v>PO-000074</x:v>
      </x:c>
      <x:c r="B78" t="str">
        <x:v>Skyndu</x:v>
      </x:c>
      <x:c r="C78" t="str">
        <x:v>Green Coffee</x:v>
      </x:c>
      <x:c r="D78" t="str">
        <x:v>2024-04-01</x:v>
      </x:c>
      <x:c r="E78" t="str">
        <x:v>2024-04-14</x:v>
      </x:c>
      <x:c r="F78" t="str">
        <x:v>2024-04-19</x:v>
      </x:c>
      <x:c r="G78" t="n">
        <x:v>120</x:v>
      </x:c>
      <x:c r="H78" t="n">
        <x:v>120</x:v>
      </x:c>
      <x:c r="I78" s="22" t="n">
        <x:v>1052.4</x:v>
      </x:c>
      <x:c r="J78" t="str">
        <x:v>Received</x:v>
      </x:c>
      <x:c r="K78" t="n">
        <x:v>0</x:v>
      </x:c>
    </x:row>
    <x:row r="79" ht="18" customHeight="1">
      <x:c r="A79" t="str">
        <x:v>PO-000075</x:v>
      </x:c>
      <x:c r="B79" t="str">
        <x:v>Skyndu</x:v>
      </x:c>
      <x:c r="C79" t="str">
        <x:v>Green Coffee</x:v>
      </x:c>
      <x:c r="D79" t="str">
        <x:v>2024-10-25</x:v>
      </x:c>
      <x:c r="E79" t="str">
        <x:v>2024-11-03</x:v>
      </x:c>
      <x:c r="F79" t="str">
        <x:v>2024-11-01</x:v>
      </x:c>
      <x:c r="G79" t="n">
        <x:v>52</x:v>
      </x:c>
      <x:c r="H79" t="n">
        <x:v>52</x:v>
      </x:c>
      <x:c r="I79" s="22" t="n">
        <x:v>474.76</x:v>
      </x:c>
      <x:c r="J79" t="str">
        <x:v>Received</x:v>
      </x:c>
      <x:c r="K79" t="n">
        <x:v>1</x:v>
      </x:c>
    </x:row>
    <x:row r="80" ht="18" customHeight="1">
      <x:c r="A80" t="str">
        <x:v>PO-000076</x:v>
      </x:c>
      <x:c r="B80" t="str">
        <x:v>Skyndu</x:v>
      </x:c>
      <x:c r="C80" t="str">
        <x:v>Green Coffee</x:v>
      </x:c>
      <x:c r="D80" t="str">
        <x:v>2025-02-04</x:v>
      </x:c>
      <x:c r="E80" t="str">
        <x:v>2025-02-11</x:v>
      </x:c>
      <x:c r="F80" t="str">
        <x:v>2025-02-10</x:v>
      </x:c>
      <x:c r="G80" t="n">
        <x:v>54</x:v>
      </x:c>
      <x:c r="H80" t="n">
        <x:v>54</x:v>
      </x:c>
      <x:c r="I80" s="22" t="n">
        <x:v>469.8</x:v>
      </x:c>
      <x:c r="J80" t="str">
        <x:v>Received</x:v>
      </x:c>
      <x:c r="K80" t="n">
        <x:v>1</x:v>
      </x:c>
    </x:row>
    <x:row r="81" ht="18" customHeight="1">
      <x:c r="A81" t="str">
        <x:v>PO-000077</x:v>
      </x:c>
      <x:c r="B81" t="str">
        <x:v>Yotz</x:v>
      </x:c>
      <x:c r="C81" t="str">
        <x:v>Arabica Coffee</x:v>
      </x:c>
      <x:c r="D81" t="str">
        <x:v>2024-05-11</x:v>
      </x:c>
      <x:c r="E81" t="str">
        <x:v>2024-05-25</x:v>
      </x:c>
      <x:c r="F81" t="str">
        <x:v>2024-05-23</x:v>
      </x:c>
      <x:c r="G81" t="n">
        <x:v>55</x:v>
      </x:c>
      <x:c r="H81" t="n">
        <x:v>55</x:v>
      </x:c>
      <x:c r="I81" s="22" t="n">
        <x:v>872.85</x:v>
      </x:c>
      <x:c r="J81" t="str">
        <x:v>Received</x:v>
      </x:c>
      <x:c r="K81" t="n">
        <x:v>1</x:v>
      </x:c>
    </x:row>
    <x:row r="82" ht="18" customHeight="1">
      <x:c r="A82" t="str">
        <x:v>PO-000078</x:v>
      </x:c>
      <x:c r="B82" t="str">
        <x:v>Yotz</x:v>
      </x:c>
      <x:c r="C82" t="str">
        <x:v>Arabica Coffee</x:v>
      </x:c>
      <x:c r="D82" t="str">
        <x:v>2024-11-01</x:v>
      </x:c>
      <x:c r="E82" t="str">
        <x:v>2024-11-05</x:v>
      </x:c>
      <x:c r="F82" t="str">
        <x:v>2024-11-05</x:v>
      </x:c>
      <x:c r="G82" t="n">
        <x:v>49</x:v>
      </x:c>
      <x:c r="H82" t="n">
        <x:v>49</x:v>
      </x:c>
      <x:c r="I82" s="22" t="n">
        <x:v>776.16</x:v>
      </x:c>
      <x:c r="J82" t="str">
        <x:v>Received</x:v>
      </x:c>
      <x:c r="K82" t="n">
        <x:v>1</x:v>
      </x:c>
    </x:row>
    <x:row r="83" ht="18" customHeight="1">
      <x:c r="A83" t="str">
        <x:v>PO-000079</x:v>
      </x:c>
      <x:c r="B83" t="str">
        <x:v>Vinder</x:v>
      </x:c>
      <x:c r="C83" t="str">
        <x:v>Tilapia</x:v>
      </x:c>
      <x:c r="D83" t="str">
        <x:v>2024-05-08</x:v>
      </x:c>
      <x:c r="E83" t="str">
        <x:v>2024-05-23</x:v>
      </x:c>
      <x:c r="F83" t="str">
        <x:v>2024-05-20</x:v>
      </x:c>
      <x:c r="G83" t="n">
        <x:v>12</x:v>
      </x:c>
      <x:c r="H83" t="n">
        <x:v>12</x:v>
      </x:c>
      <x:c r="I83" s="22" t="n">
        <x:v>66.96</x:v>
      </x:c>
      <x:c r="J83" t="str">
        <x:v>Received</x:v>
      </x:c>
      <x:c r="K83" t="n">
        <x:v>1</x:v>
      </x:c>
    </x:row>
    <x:row r="84" ht="18" customHeight="1">
      <x:c r="A84" t="str">
        <x:v>PO-000080</x:v>
      </x:c>
      <x:c r="B84" t="str">
        <x:v>Vinder</x:v>
      </x:c>
      <x:c r="C84" t="str">
        <x:v>Tilapia</x:v>
      </x:c>
      <x:c r="D84" t="str">
        <x:v>2024-08-13</x:v>
      </x:c>
      <x:c r="E84" t="str">
        <x:v>2024-08-21</x:v>
      </x:c>
      <x:c r="F84" t="str">
        <x:v>2024-08-20</x:v>
      </x:c>
      <x:c r="G84" t="n">
        <x:v>13</x:v>
      </x:c>
      <x:c r="H84" t="n">
        <x:v>13</x:v>
      </x:c>
      <x:c r="I84" s="22" t="n">
        <x:v>69.94</x:v>
      </x:c>
      <x:c r="J84" t="str">
        <x:v>Received</x:v>
      </x:c>
      <x:c r="K84" t="n">
        <x:v>1</x:v>
      </x:c>
    </x:row>
    <x:row r="85" ht="18" customHeight="1">
      <x:c r="A85" t="str">
        <x:v>PO-000081</x:v>
      </x:c>
      <x:c r="B85" t="str">
        <x:v>Geba</x:v>
      </x:c>
      <x:c r="C85" t="str">
        <x:v>Arborio Rice</x:v>
      </x:c>
      <x:c r="D85" t="str">
        <x:v>2024-09-02</x:v>
      </x:c>
      <x:c r="E85" t="str">
        <x:v>2024-09-18</x:v>
      </x:c>
      <x:c r="F85" t="str">
        <x:v>2024-09-17</x:v>
      </x:c>
      <x:c r="G85" t="n">
        <x:v>31</x:v>
      </x:c>
      <x:c r="H85" t="n">
        <x:v>31</x:v>
      </x:c>
      <x:c r="I85" s="22" t="n">
        <x:v>85.25</x:v>
      </x:c>
      <x:c r="J85" t="str">
        <x:v>Received</x:v>
      </x:c>
      <x:c r="K85" t="n">
        <x:v>1</x:v>
      </x:c>
    </x:row>
    <x:row r="86" ht="18" customHeight="1">
      <x:c r="A86" t="str">
        <x:v>PO-000082</x:v>
      </x:c>
      <x:c r="B86" t="str">
        <x:v>Geba</x:v>
      </x:c>
      <x:c r="C86" t="str">
        <x:v>Arborio Rice</x:v>
      </x:c>
      <x:c r="D86" t="str">
        <x:v>2025-01-18</x:v>
      </x:c>
      <x:c r="E86" t="str">
        <x:v>2025-01-25</x:v>
      </x:c>
      <x:c r="F86" t="str">
        <x:v>2025-01-22</x:v>
      </x:c>
      <x:c r="G86" t="n">
        <x:v>37</x:v>
      </x:c>
      <x:c r="H86" t="n">
        <x:v>23</x:v>
      </x:c>
      <x:c r="I86" s="22" t="n">
        <x:v>109.15</x:v>
      </x:c>
      <x:c r="J86" t="str">
        <x:v>Partial</x:v>
      </x:c>
      <x:c r="K86" t="n">
        <x:v>0</x:v>
      </x:c>
    </x:row>
    <x:row r="87" ht="18" customHeight="1">
      <x:c r="A87" t="str">
        <x:v>PO-000083</x:v>
      </x:c>
      <x:c r="B87" t="str">
        <x:v>Dazzlesphere</x:v>
      </x:c>
      <x:c r="C87" t="str">
        <x:v>Bread Flour</x:v>
      </x:c>
      <x:c r="D87" t="str">
        <x:v>2024-05-25</x:v>
      </x:c>
      <x:c r="E87" t="str">
        <x:v>2024-05-29</x:v>
      </x:c>
      <x:c r="F87" t="str">
        <x:v>2024-05-26</x:v>
      </x:c>
      <x:c r="G87" t="n">
        <x:v>124</x:v>
      </x:c>
      <x:c r="H87" t="n">
        <x:v>100</x:v>
      </x:c>
      <x:c r="I87" s="22" t="n">
        <x:v>121.52</x:v>
      </x:c>
      <x:c r="J87" t="str">
        <x:v>Partial</x:v>
      </x:c>
      <x:c r="K87" t="n">
        <x:v>0</x:v>
      </x:c>
    </x:row>
    <x:row r="88" ht="18" customHeight="1">
      <x:c r="A88" t="str">
        <x:v>PO-000084</x:v>
      </x:c>
      <x:c r="B88" t="str">
        <x:v>Dazzlesphere</x:v>
      </x:c>
      <x:c r="C88" t="str">
        <x:v>Bread Flour</x:v>
      </x:c>
      <x:c r="D88" t="str">
        <x:v>2024-10-06</x:v>
      </x:c>
      <x:c r="E88" t="str">
        <x:v>2024-10-23</x:v>
      </x:c>
      <x:c r="F88" t="str">
        <x:v>2024-10-25</x:v>
      </x:c>
      <x:c r="G88" t="n">
        <x:v>159</x:v>
      </x:c>
      <x:c r="H88" t="n">
        <x:v>149</x:v>
      </x:c>
      <x:c r="I88" s="22" t="n">
        <x:v>159</x:v>
      </x:c>
      <x:c r="J88" t="str">
        <x:v>Partial</x:v>
      </x:c>
      <x:c r="K88" t="n">
        <x:v>0</x:v>
      </x:c>
    </x:row>
    <x:row r="89" ht="18" customHeight="1">
      <x:c r="A89" t="str">
        <x:v>PO-000085</x:v>
      </x:c>
      <x:c r="B89" t="str">
        <x:v>Dazzlesphere</x:v>
      </x:c>
      <x:c r="C89" t="str">
        <x:v>Bread Flour</x:v>
      </x:c>
      <x:c r="D89" t="str">
        <x:v>2024-12-28</x:v>
      </x:c>
      <x:c r="E89" t="str">
        <x:v>2025-01-06</x:v>
      </x:c>
      <x:c r="F89" t="str">
        <x:v>2025-01-10</x:v>
      </x:c>
      <x:c r="G89" t="n">
        <x:v>156</x:v>
      </x:c>
      <x:c r="H89" t="n">
        <x:v>156</x:v>
      </x:c>
      <x:c r="I89" s="22" t="n">
        <x:v>157.56</x:v>
      </x:c>
      <x:c r="J89" t="str">
        <x:v>Received</x:v>
      </x:c>
      <x:c r="K89" t="n">
        <x:v>0</x:v>
      </x:c>
    </x:row>
    <x:row r="90" ht="18" customHeight="1">
      <x:c r="A90" t="str">
        <x:v>PO-000086</x:v>
      </x:c>
      <x:c r="B90" t="str">
        <x:v>Kanoodle</x:v>
      </x:c>
      <x:c r="C90" t="str">
        <x:v>Cucumber</x:v>
      </x:c>
      <x:c r="D90" t="str">
        <x:v>2024-03-18</x:v>
      </x:c>
      <x:c r="E90" t="str">
        <x:v>2024-04-01</x:v>
      </x:c>
      <x:c r="F90" t="str">
        <x:v>2024-03-29</x:v>
      </x:c>
      <x:c r="G90" t="n">
        <x:v>20</x:v>
      </x:c>
      <x:c r="H90" t="n">
        <x:v>20</x:v>
      </x:c>
      <x:c r="I90" s="22" t="n">
        <x:v>24.6</x:v>
      </x:c>
      <x:c r="J90" t="str">
        <x:v>Received</x:v>
      </x:c>
      <x:c r="K90" t="n">
        <x:v>1</x:v>
      </x:c>
    </x:row>
    <x:row r="91" ht="18" customHeight="1">
      <x:c r="A91" t="str">
        <x:v>PO-000087</x:v>
      </x:c>
      <x:c r="B91" t="str">
        <x:v>Kanoodle</x:v>
      </x:c>
      <x:c r="C91" t="str">
        <x:v>Cucumber</x:v>
      </x:c>
      <x:c r="D91" t="str">
        <x:v>2024-05-11</x:v>
      </x:c>
      <x:c r="E91" t="str">
        <x:v>2024-05-24</x:v>
      </x:c>
      <x:c r="F91" t="str">
        <x:v>2024-05-22</x:v>
      </x:c>
      <x:c r="G91" t="n">
        <x:v>29</x:v>
      </x:c>
      <x:c r="H91" t="n">
        <x:v>29</x:v>
      </x:c>
      <x:c r="I91" s="22" t="n">
        <x:v>34.22</x:v>
      </x:c>
      <x:c r="J91" t="str">
        <x:v>Received</x:v>
      </x:c>
      <x:c r="K91" t="n">
        <x:v>1</x:v>
      </x:c>
    </x:row>
    <x:row r="92" ht="18" customHeight="1">
      <x:c r="A92" t="str">
        <x:v>PO-000088</x:v>
      </x:c>
      <x:c r="B92" t="str">
        <x:v>Eimbee</x:v>
      </x:c>
      <x:c r="C92" t="str">
        <x:v>Cheese</x:v>
      </x:c>
      <x:c r="D92" t="str">
        <x:v>2024-05-07</x:v>
      </x:c>
      <x:c r="E92" t="str">
        <x:v>2024-05-25</x:v>
      </x:c>
      <x:c r="F92" t="str">
        <x:v>2024-05-24</x:v>
      </x:c>
      <x:c r="G92" t="n">
        <x:v>11</x:v>
      </x:c>
      <x:c r="H92" t="n">
        <x:v>11</x:v>
      </x:c>
      <x:c r="I92" s="22" t="n">
        <x:v>84.48</x:v>
      </x:c>
      <x:c r="J92" t="str">
        <x:v>Received</x:v>
      </x:c>
      <x:c r="K92" t="n">
        <x:v>1</x:v>
      </x:c>
    </x:row>
    <x:row r="93" ht="18" customHeight="1">
      <x:c r="A93" t="str">
        <x:v>PO-000089</x:v>
      </x:c>
      <x:c r="B93" t="str">
        <x:v>Eimbee</x:v>
      </x:c>
      <x:c r="C93" t="str">
        <x:v>Cheese</x:v>
      </x:c>
      <x:c r="D93" t="str">
        <x:v>2025-02-08</x:v>
      </x:c>
      <x:c r="E93" t="str">
        <x:v>2025-02-15</x:v>
      </x:c>
      <x:c r="F93" t="str">
        <x:v>2025-02-18</x:v>
      </x:c>
      <x:c r="G93" t="n">
        <x:v>10</x:v>
      </x:c>
      <x:c r="H93" t="n">
        <x:v>10</x:v>
      </x:c>
      <x:c r="I93" s="22" t="n">
        <x:v>74.3</x:v>
      </x:c>
      <x:c r="J93" t="str">
        <x:v>Received</x:v>
      </x:c>
      <x:c r="K93" t="n">
        <x:v>0</x:v>
      </x:c>
    </x:row>
    <x:row r="94" ht="18" customHeight="1">
      <x:c r="A94" t="str">
        <x:v>PO-000090</x:v>
      </x:c>
      <x:c r="B94" t="str">
        <x:v>Centimia</x:v>
      </x:c>
      <x:c r="C94" t="str">
        <x:v>Milk</x:v>
      </x:c>
      <x:c r="D94" t="str">
        <x:v>2024-08-09</x:v>
      </x:c>
      <x:c r="E94" t="str">
        <x:v>2024-08-23</x:v>
      </x:c>
      <x:c r="F94" t="str">
        <x:v>2024-08-25</x:v>
      </x:c>
      <x:c r="G94" t="n">
        <x:v>175</x:v>
      </x:c>
      <x:c r="H94" t="n">
        <x:v>175</x:v>
      </x:c>
      <x:c r="I94" s="22" t="n">
        <x:v>110.25</x:v>
      </x:c>
      <x:c r="J94" t="str">
        <x:v>Received</x:v>
      </x:c>
      <x:c r="K94" t="n">
        <x:v>0</x:v>
      </x:c>
    </x:row>
    <x:row r="95" ht="18" customHeight="1">
      <x:c r="A95" t="str">
        <x:v>PO-000091</x:v>
      </x:c>
      <x:c r="B95" t="str">
        <x:v>Centimia</x:v>
      </x:c>
      <x:c r="C95" t="str">
        <x:v>Milk</x:v>
      </x:c>
      <x:c r="D95" t="str">
        <x:v>2024-11-09</x:v>
      </x:c>
      <x:c r="E95" t="str">
        <x:v>2024-11-23</x:v>
      </x:c>
      <x:c r="F95" t="str">
        <x:v>2024-12-01</x:v>
      </x:c>
      <x:c r="G95" t="n">
        <x:v>71</x:v>
      </x:c>
      <x:c r="H95" t="n">
        <x:v>71</x:v>
      </x:c>
      <x:c r="I95" s="22" t="n">
        <x:v>39.76</x:v>
      </x:c>
      <x:c r="J95" t="str">
        <x:v>Received</x:v>
      </x:c>
      <x:c r="K95" t="n">
        <x:v>0</x:v>
      </x:c>
    </x:row>
    <x:row r="96" ht="18" customHeight="1">
      <x:c r="A96" t="str">
        <x:v>PO-000092</x:v>
      </x:c>
      <x:c r="B96" t="str">
        <x:v>Livefish</x:v>
      </x:c>
      <x:c r="C96" t="str">
        <x:v>Lime</x:v>
      </x:c>
      <x:c r="D96" t="str">
        <x:v>2024-06-16</x:v>
      </x:c>
      <x:c r="E96" t="str">
        <x:v>2024-06-22</x:v>
      </x:c>
      <x:c r="F96" t="str">
        <x:v>2024-06-19</x:v>
      </x:c>
      <x:c r="G96" t="n">
        <x:v>80</x:v>
      </x:c>
      <x:c r="H96" t="n">
        <x:v>80</x:v>
      </x:c>
      <x:c r="I96" s="22" t="n">
        <x:v>116.8</x:v>
      </x:c>
      <x:c r="J96" t="str">
        <x:v>Received</x:v>
      </x:c>
      <x:c r="K96" t="n">
        <x:v>1</x:v>
      </x:c>
    </x:row>
    <x:row r="97" ht="18" customHeight="1">
      <x:c r="A97" t="str">
        <x:v>PO-000093</x:v>
      </x:c>
      <x:c r="B97" t="str">
        <x:v>Livefish</x:v>
      </x:c>
      <x:c r="C97" t="str">
        <x:v>Lime</x:v>
      </x:c>
      <x:c r="D97" t="str">
        <x:v>2024-09-07</x:v>
      </x:c>
      <x:c r="E97" t="str">
        <x:v>2024-09-22</x:v>
      </x:c>
      <x:c r="F97" t="str">
        <x:v>2024-09-21</x:v>
      </x:c>
      <x:c r="G97" t="n">
        <x:v>68</x:v>
      </x:c>
      <x:c r="H97" t="n">
        <x:v>68</x:v>
      </x:c>
      <x:c r="I97" s="22" t="n">
        <x:v>99.28</x:v>
      </x:c>
      <x:c r="J97" t="str">
        <x:v>Received</x:v>
      </x:c>
      <x:c r="K97" t="n">
        <x:v>1</x:v>
      </x:c>
    </x:row>
    <x:row r="98" ht="18" customHeight="1">
      <x:c r="A98" t="str">
        <x:v>PO-000094</x:v>
      </x:c>
      <x:c r="B98" t="str">
        <x:v>Livefish</x:v>
      </x:c>
      <x:c r="C98" t="str">
        <x:v>Lime</x:v>
      </x:c>
      <x:c r="D98" t="str">
        <x:v>2024-09-14</x:v>
      </x:c>
      <x:c r="E98" t="str">
        <x:v>2024-09-28</x:v>
      </x:c>
      <x:c r="F98" t="str">
        <x:v>2024-09-28</x:v>
      </x:c>
      <x:c r="G98" t="n">
        <x:v>95</x:v>
      </x:c>
      <x:c r="H98" t="n">
        <x:v>95</x:v>
      </x:c>
      <x:c r="I98" s="22" t="n">
        <x:v>147.25</x:v>
      </x:c>
      <x:c r="J98" t="str">
        <x:v>Received</x:v>
      </x:c>
      <x:c r="K98" t="n">
        <x:v>1</x:v>
      </x:c>
    </x:row>
    <x:row r="99" ht="18" customHeight="1">
      <x:c r="A99" t="str">
        <x:v>PO-000095</x:v>
      </x:c>
      <x:c r="B99" t="str">
        <x:v>Livefish</x:v>
      </x:c>
      <x:c r="C99" t="str">
        <x:v>Lime</x:v>
      </x:c>
      <x:c r="D99" t="str">
        <x:v>2025-01-12</x:v>
      </x:c>
      <x:c r="E99" t="str">
        <x:v>2025-01-26</x:v>
      </x:c>
      <x:c r="F99" t="str">
        <x:v>2025-01-31</x:v>
      </x:c>
      <x:c r="G99" t="n">
        <x:v>89</x:v>
      </x:c>
      <x:c r="H99" t="n">
        <x:v>89</x:v>
      </x:c>
      <x:c r="I99" s="22" t="n">
        <x:v>129.05</x:v>
      </x:c>
      <x:c r="J99" t="str">
        <x:v>Received</x:v>
      </x:c>
      <x:c r="K99" t="n">
        <x:v>0</x:v>
      </x:c>
    </x:row>
    <x:row r="100" ht="18" customHeight="1">
      <x:c r="A100" t="str">
        <x:v>PO-000096</x:v>
      </x:c>
      <x:c r="B100" t="str">
        <x:v>Quatz</x:v>
      </x:c>
      <x:c r="C100" t="str">
        <x:v>Rice Flour</x:v>
      </x:c>
      <x:c r="D100" t="str">
        <x:v>2024-06-17</x:v>
      </x:c>
      <x:c r="E100" t="str">
        <x:v>2024-06-23</x:v>
      </x:c>
      <x:c r="F100" t="str">
        <x:v>2024-06-21</x:v>
      </x:c>
      <x:c r="G100" t="n">
        <x:v>88</x:v>
      </x:c>
      <x:c r="H100" t="n">
        <x:v>88</x:v>
      </x:c>
      <x:c r="I100" s="22" t="n">
        <x:v>141.68</x:v>
      </x:c>
      <x:c r="J100" t="str">
        <x:v>Received</x:v>
      </x:c>
      <x:c r="K100" t="n">
        <x:v>1</x:v>
      </x:c>
    </x:row>
    <x:row r="101" ht="18" customHeight="1">
      <x:c r="A101" t="str">
        <x:v>PO-000097</x:v>
      </x:c>
      <x:c r="B101" t="str">
        <x:v>Quatz</x:v>
      </x:c>
      <x:c r="C101" t="str">
        <x:v>Rice Flour</x:v>
      </x:c>
      <x:c r="D101" t="str">
        <x:v>2024-07-04</x:v>
      </x:c>
      <x:c r="E101" t="str">
        <x:v>2024-07-18</x:v>
      </x:c>
      <x:c r="F101" t="str">
        <x:v>2024-07-20</x:v>
      </x:c>
      <x:c r="G101" t="n">
        <x:v>49</x:v>
      </x:c>
      <x:c r="H101" t="n">
        <x:v>27</x:v>
      </x:c>
      <x:c r="I101" s="22" t="n">
        <x:v>75.95</x:v>
      </x:c>
      <x:c r="J101" t="str">
        <x:v>Partial</x:v>
      </x:c>
      <x:c r="K101" t="n">
        <x:v>0</x:v>
      </x:c>
    </x:row>
    <x:row r="102" ht="18" customHeight="1">
      <x:c r="A102" t="str">
        <x:v>PO-000098</x:v>
      </x:c>
      <x:c r="B102" t="str">
        <x:v>Quatz</x:v>
      </x:c>
      <x:c r="C102" t="str">
        <x:v>Rice Flour</x:v>
      </x:c>
      <x:c r="D102" t="str">
        <x:v>2025-02-17</x:v>
      </x:c>
      <x:c r="E102" t="str">
        <x:v>2025-03-06</x:v>
      </x:c>
      <x:c r="F102" t="str">
        <x:v>2025-03-04</x:v>
      </x:c>
      <x:c r="G102" t="n">
        <x:v>73</x:v>
      </x:c>
      <x:c r="H102" t="n">
        <x:v>73</x:v>
      </x:c>
      <x:c r="I102" s="22" t="n">
        <x:v>114.61</x:v>
      </x:c>
      <x:c r="J102" t="str">
        <x:v>Received</x:v>
      </x:c>
      <x:c r="K102" t="n">
        <x:v>1</x:v>
      </x:c>
    </x:row>
    <x:row r="103" ht="18" customHeight="1">
      <x:c r="A103" t="str">
        <x:v>PO-000099</x:v>
      </x:c>
      <x:c r="B103" t="str">
        <x:v>Rhyloo</x:v>
      </x:c>
      <x:c r="C103" t="str">
        <x:v>Sourdough Bread</x:v>
      </x:c>
      <x:c r="D103" t="str">
        <x:v>2024-03-27</x:v>
      </x:c>
      <x:c r="E103" t="str">
        <x:v>2024-03-31</x:v>
      </x:c>
      <x:c r="F103" t="str">
        <x:v>2024-03-29</x:v>
      </x:c>
      <x:c r="G103" t="n">
        <x:v>92</x:v>
      </x:c>
      <x:c r="H103" t="n">
        <x:v>92</x:v>
      </x:c>
      <x:c r="I103" s="22" t="n">
        <x:v>296.24</x:v>
      </x:c>
      <x:c r="J103" t="str">
        <x:v>Received</x:v>
      </x:c>
      <x:c r="K103" t="n">
        <x:v>1</x:v>
      </x:c>
    </x:row>
    <x:row r="104" ht="18" customHeight="1">
      <x:c r="A104" t="str">
        <x:v>PO-000100</x:v>
      </x:c>
      <x:c r="B104" t="str">
        <x:v>Rhyloo</x:v>
      </x:c>
      <x:c r="C104" t="str">
        <x:v>Sourdough Bread</x:v>
      </x:c>
      <x:c r="D104" t="str">
        <x:v>2024-04-26</x:v>
      </x:c>
      <x:c r="E104" t="str">
        <x:v>2024-05-08</x:v>
      </x:c>
      <x:c r="F104" t="str">
        <x:v>2024-05-05</x:v>
      </x:c>
      <x:c r="G104" t="n">
        <x:v>125</x:v>
      </x:c>
      <x:c r="H104" t="n">
        <x:v>125</x:v>
      </x:c>
      <x:c r="I104" s="22" t="n">
        <x:v>403.75</x:v>
      </x:c>
      <x:c r="J104" t="str">
        <x:v>Received</x:v>
      </x:c>
      <x:c r="K104" t="n">
        <x:v>1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53" hidden="0" customWidth="1"/>
  </x:cols>
  <x:sheetData>
    <x:row r="1" ht="34" customHeight="1">
      <x:c r="A1" s="4" t="str">
        <x:v>DATA ORIGIN, QUALITY &amp; ASSUMPTIONS</x:v>
      </x:c>
      <x:c r="B1" s="4"/>
      <x:c r="C1" s="4"/>
      <x:c r="D1" s="4"/>
      <x:c r="E1" s="4"/>
      <x:c r="F1" s="4"/>
    </x:row>
    <x:row r="2" ht="26" customHeight="1">
      <x:c r="A2" s="9" t="str">
        <x:v>Yellow input parameters control scenario-only formulas and risk bands</x:v>
      </x:c>
      <x:c r="B2" s="9"/>
      <x:c r="C2" s="9"/>
      <x:c r="D2" s="9"/>
      <x:c r="E2" s="9"/>
      <x:c r="F2" s="9"/>
    </x:row>
    <x:row r="4" ht="28" customHeight="1">
      <x:c r="A4" s="27" t="str">
        <x:v>Scenario input / data fact</x:v>
      </x:c>
      <x:c r="B4" s="27" t="str">
        <x:v>Value</x:v>
      </x:c>
    </x:row>
    <x:row r="5">
      <x:c r="A5" t="str">
        <x:v>DATA PROVENANCE: INVENTORY=OBSERVED</x:v>
      </x:c>
    </x:row>
    <x:row r="6">
      <x:c r="A6" t="str">
        <x:v>DATA PROVENANCE: PURCHASE ORDERS=SIMULATED</x:v>
      </x:c>
    </x:row>
    <x:row r="7">
      <x:c r="A7" t="str">
        <x:v>Model discount on top-ten suppliers</x:v>
      </x:c>
      <x:c r="B7" s="32" t="n">
        <x:v>0.05</x:v>
      </x:c>
    </x:row>
    <x:row r="8">
      <x:c r="A8" t="str">
        <x:v>Min modeled PO sample size</x:v>
      </x:c>
      <x:c r="B8" s="33" t="n">
        <x:v>5</x:v>
      </x:c>
    </x:row>
    <x:row r="9">
      <x:c r="A9" t="str">
        <x:v>Illustrative high-risk OTIF cutoff</x:v>
      </x:c>
      <x:c r="B9" s="32" t="n">
        <x:v>0.65</x:v>
      </x:c>
    </x:row>
    <x:row r="10">
      <x:c r="A10" t="str">
        <x:v>Illustrative medium-risk OTIF cutoff</x:v>
      </x:c>
      <x:c r="B10" s="32" t="n">
        <x:v>0.85</x:v>
      </x:c>
    </x:row>
    <x:row r="11">
      <x:c r="A11" t="str">
        <x:v>Date-received before last-order source rows</x:v>
      </x:c>
      <x:c r="B11" t="n">
        <x:v>514</x:v>
      </x:c>
    </x:row>
    <x:row r="12">
      <x:c r="A12" t="str">
        <x:v>Distinct original source supplier IDs</x:v>
      </x:c>
      <x:c r="B12" t="n">
        <x:v>990</x:v>
      </x:c>
    </x:row>
    <x:row r="13">
      <x:c r="A13" t="str">
        <x:v>Scenario as-of date</x:v>
      </x:c>
      <x:c r="B13" t="str">
        <x:v>2025-03-31</x:v>
      </x:c>
    </x:row>
    <x:row r="16" ht="28" customHeight="1">
      <x:c r="A16" s="27" t="str">
        <x:v>Source data quality observation</x:v>
      </x:c>
      <x:c r="B16" s="27" t="str">
        <x:v>Implication</x:v>
      </x:c>
    </x:row>
    <x:row r="17" ht="31" customHeight="1">
      <x:c r="A17" s="24" t="str">
        <x:v>990 inventory rows; 350 supplier names</x:v>
      </x:c>
      <x:c r="B17" s="24" t="str">
        <x:v>Source-backed; counts are not PO metrics</x:v>
      </x:c>
    </x:row>
    <x:row r="18" ht="31" customHeight="1">
      <x:c r="A18" s="24" t="str">
        <x:v>514 rows: receipt date before last order</x:v>
      </x:c>
      <x:c r="B18" s="24" t="str">
        <x:v>Do not infer actual PO lead time</x:v>
      </x:c>
    </x:row>
    <x:row r="19" ht="31" customHeight="1">
      <x:c r="A19" s="24" t="str">
        <x:v>Source Supplier_ID unique in all 990 rows</x:v>
      </x:c>
      <x:c r="B19" s="24" t="str">
        <x:v>Group by derived supplier name key only</x:v>
      </x:c>
    </x:row>
    <x:row r="20" ht="31" customHeight="1">
      <x:c r="A20" s="24" t="str">
        <x:v>1 missing category</x:v>
      </x:c>
      <x:c r="B20" s="24" t="str">
        <x:v>Filled as Unknown</x:v>
      </x:c>
    </x:row>
    <x:row r="21" ht="31" customHeight="1">
      <x:c r="A21" s="24" t="str">
        <x:v>No promised delivery dates</x:v>
      </x:c>
      <x:c r="B21" s="24" t="str">
        <x:v>Actual OTIF not measurable</x:v>
      </x:c>
    </x:row>
    <x:row r="22" ht="31" customHeight="1">
      <x:c r="A22" s="24" t="str">
        <x:v>No genuine purchase orders or purchase costs</x:v>
      </x:c>
      <x:c r="B22" s="24" t="str">
        <x:v>Procurement spend is synthetic</x:v>
      </x:c>
    </x:row>
    <x:row r="23" ht="31" customHeight="1">
      <x:c r="A23" s="24" t="str">
        <x:v>Price multiplied by on-hand quantity</x:v>
      </x:c>
      <x:c r="B23" s="24" t="str">
        <x:v>Not necessarily accounting stock cost</x:v>
      </x:c>
    </x:row>
    <x:row r="24" ht="31" customHeight="1">
      <x:c r="A24" s="24" t="str">
        <x:v>5% top-10 modeled value discount scenario</x:v>
      </x:c>
      <x:c r="B24" s="24" t="str">
        <x:v>Not realized savings</x:v>
      </x:c>
    </x:row>
    <x:row r="25" ht="31" customHeight="1">
      <x:c r="A25" s="24" t="str">
        <x:v>Source license provenance</x:v>
      </x:c>
      <x:c r="B25" s="24" t="str">
        <x:v>Verify right to publish uploaded CSV</x:v>
      </x:c>
    </x:row>
  </x:sheetData>
  <x:mergeCells>
    <x:mergeCell ref="A1:F1"/>
    <x:mergeCell ref="A2:F2"/>
  </x:mergeCells>
  <x:pageMargins left="0.7" right="0.7" top="0.75" bottom="0.75" header="0.3" footer="0.3"/>
</x:worksheet>
</file>